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1643BD80-C968-470D-9E2F-0FA5A9C31D53}" xr6:coauthVersionLast="47" xr6:coauthVersionMax="47" xr10:uidLastSave="{00000000-0000-0000-0000-000000000000}"/>
  <bookViews>
    <workbookView xWindow="-120" yWindow="-120" windowWidth="29040" windowHeight="15720" activeTab="7" xr2:uid="{2A504049-904C-49CA-941A-3395BD7D6499}"/>
  </bookViews>
  <sheets>
    <sheet name="ESQ NOROESTE" sheetId="1" r:id="rId1"/>
    <sheet name="ESQ NOROESTE 2" sheetId="2" r:id="rId2"/>
    <sheet name="COSTO MIN" sheetId="3" r:id="rId3"/>
    <sheet name="COSTO MIN 2" sheetId="4" r:id="rId4"/>
    <sheet name="VOGEL" sheetId="5" r:id="rId5"/>
    <sheet name="VOGEL 2" sheetId="6" r:id="rId6"/>
    <sheet name="PIEDRA EN PIEDRA" sheetId="7" r:id="rId7"/>
    <sheet name="PIEDRA EN PIEDRA 2" sheetId="9" r:id="rId8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1" i="9" l="1"/>
  <c r="D67" i="9"/>
  <c r="D66" i="9"/>
  <c r="D65" i="9"/>
  <c r="D64" i="9"/>
  <c r="D63" i="9"/>
  <c r="D62" i="9"/>
  <c r="B59" i="9"/>
  <c r="F46" i="9"/>
  <c r="D64" i="7"/>
  <c r="D68" i="7"/>
  <c r="D67" i="7"/>
  <c r="D66" i="7"/>
  <c r="D65" i="7"/>
  <c r="D63" i="7"/>
  <c r="C61" i="7"/>
  <c r="G49" i="7"/>
  <c r="F45" i="7"/>
  <c r="F44" i="7"/>
  <c r="F43" i="7"/>
  <c r="F42" i="7"/>
  <c r="B37" i="7"/>
  <c r="F35" i="7"/>
  <c r="F34" i="7"/>
  <c r="F33" i="7"/>
  <c r="F32" i="7"/>
  <c r="D27" i="7"/>
  <c r="C27" i="7"/>
  <c r="B27" i="7"/>
  <c r="F25" i="7"/>
  <c r="F24" i="7"/>
  <c r="F23" i="7"/>
  <c r="F22" i="7"/>
  <c r="D17" i="7"/>
  <c r="C17" i="7"/>
  <c r="B17" i="7"/>
  <c r="F15" i="7"/>
  <c r="F14" i="7"/>
  <c r="F13" i="7"/>
  <c r="F12" i="7"/>
  <c r="G51" i="6"/>
  <c r="D49" i="6"/>
  <c r="C49" i="6"/>
  <c r="B49" i="6"/>
  <c r="F47" i="6"/>
  <c r="F46" i="6"/>
  <c r="F45" i="6"/>
  <c r="F44" i="6"/>
  <c r="F43" i="6"/>
  <c r="B39" i="6"/>
  <c r="D39" i="6"/>
  <c r="C39" i="6"/>
  <c r="F37" i="6"/>
  <c r="F36" i="6"/>
  <c r="F35" i="6"/>
  <c r="F34" i="6"/>
  <c r="F33" i="6"/>
  <c r="D29" i="6"/>
  <c r="C29" i="6"/>
  <c r="B29" i="6"/>
  <c r="F27" i="6"/>
  <c r="F26" i="6"/>
  <c r="F25" i="6"/>
  <c r="F24" i="6"/>
  <c r="F23" i="6"/>
  <c r="C19" i="6"/>
  <c r="D19" i="6"/>
  <c r="B19" i="6"/>
  <c r="F14" i="6"/>
  <c r="F15" i="6"/>
  <c r="F16" i="6"/>
  <c r="F17" i="6"/>
  <c r="F13" i="6"/>
  <c r="G49" i="5"/>
  <c r="F45" i="5"/>
  <c r="F44" i="5"/>
  <c r="F43" i="5"/>
  <c r="F42" i="5"/>
  <c r="B37" i="5"/>
  <c r="F35" i="5"/>
  <c r="F34" i="5"/>
  <c r="F33" i="5"/>
  <c r="F32" i="5"/>
  <c r="F23" i="5"/>
  <c r="C27" i="5"/>
  <c r="D27" i="5"/>
  <c r="B27" i="5"/>
  <c r="F25" i="5"/>
  <c r="F24" i="5"/>
  <c r="F22" i="5"/>
  <c r="C17" i="5"/>
  <c r="D17" i="5"/>
  <c r="B17" i="5"/>
  <c r="F13" i="5"/>
  <c r="F14" i="5"/>
  <c r="F15" i="5"/>
  <c r="F12" i="5"/>
  <c r="F46" i="4"/>
  <c r="G57" i="3"/>
  <c r="J37" i="2"/>
  <c r="G38" i="2"/>
  <c r="C31" i="2"/>
  <c r="B31" i="2"/>
  <c r="C22" i="2"/>
  <c r="B22" i="2"/>
  <c r="B13" i="2"/>
  <c r="F3" i="2"/>
  <c r="C9" i="2"/>
  <c r="G49" i="1"/>
  <c r="C45" i="1"/>
  <c r="C37" i="1"/>
</calcChain>
</file>

<file path=xl/sharedStrings.xml><?xml version="1.0" encoding="utf-8"?>
<sst xmlns="http://schemas.openxmlformats.org/spreadsheetml/2006/main" count="471" uniqueCount="39">
  <si>
    <t>plantas</t>
  </si>
  <si>
    <t>almacenes</t>
  </si>
  <si>
    <t>oferta</t>
  </si>
  <si>
    <t>demanda</t>
  </si>
  <si>
    <t>COSTOS</t>
  </si>
  <si>
    <t>ENTREGA</t>
  </si>
  <si>
    <t>90*10+90*9+5*10+50*6+40*9+60*6</t>
  </si>
  <si>
    <t>5F</t>
  </si>
  <si>
    <t>COSTO</t>
  </si>
  <si>
    <t>1RA ITERACIÓN</t>
  </si>
  <si>
    <t>PENAL</t>
  </si>
  <si>
    <t>2DA ITERACIÓN</t>
  </si>
  <si>
    <t>3RA ITERACIÓN</t>
  </si>
  <si>
    <t>4TA ITERACIÓN</t>
  </si>
  <si>
    <t>PENALI</t>
  </si>
  <si>
    <t>PIEDRA EN PIEDRA</t>
  </si>
  <si>
    <t>M+N-1</t>
  </si>
  <si>
    <t>C11</t>
  </si>
  <si>
    <t>C21</t>
  </si>
  <si>
    <t>C11-C31+C32-C12</t>
  </si>
  <si>
    <t>C21-C31+C32-C22</t>
  </si>
  <si>
    <t>C23</t>
  </si>
  <si>
    <t>C23-C22+C12-C13</t>
  </si>
  <si>
    <t>C24</t>
  </si>
  <si>
    <t>C24-C22+C12-C14</t>
  </si>
  <si>
    <t>C33</t>
  </si>
  <si>
    <t>C33-C32+C12-C13</t>
  </si>
  <si>
    <t>C34</t>
  </si>
  <si>
    <t>C34-C32+C12-C14</t>
  </si>
  <si>
    <t>C12</t>
  </si>
  <si>
    <t>C21-C11+C14-C24</t>
  </si>
  <si>
    <t>C23-C24+C14-C13</t>
  </si>
  <si>
    <t>C25F</t>
  </si>
  <si>
    <t>C25F-C24+C14-C15F</t>
  </si>
  <si>
    <t>C33-C31+C11-C13</t>
  </si>
  <si>
    <t>C34-C31+C11-C14</t>
  </si>
  <si>
    <t>C35F</t>
  </si>
  <si>
    <t>C35F-C31+C11-C15F</t>
  </si>
  <si>
    <t>C12-C11+C31-C32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</si>
</sst>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44" fontId="0" fillId="0" borderId="0" xfId="1" applyFont="1"/>
    <xf numFmtId="0" fontId="0" fillId="2" borderId="0" xfId="0" applyFill="1"/>
    <xf numFmtId="0" fontId="0" fillId="3" borderId="0" xfId="0" applyFill="1"/>
    <xf numFmtId="44" fontId="0" fillId="2" borderId="0" xfId="1" applyFont="1" applyFill="1"/>
    <xf numFmtId="0" fontId="0" fillId="3" borderId="0" xfId="0" applyFont="1" applyFill="1"/>
    <xf numFmtId="44" fontId="0" fillId="4" borderId="0" xfId="1" applyFont="1" applyFill="1"/>
    <xf numFmtId="0" fontId="0" fillId="4" borderId="0" xfId="0" applyFill="1"/>
    <xf numFmtId="44" fontId="0" fillId="5" borderId="0" xfId="1" applyFont="1" applyFill="1"/>
    <xf numFmtId="0" fontId="0" fillId="5" borderId="0" xfId="0" applyFill="1"/>
    <xf numFmtId="44" fontId="0" fillId="6" borderId="0" xfId="1" applyFont="1" applyFill="1"/>
    <xf numFmtId="0" fontId="0" fillId="6" borderId="0" xfId="0" applyFill="1"/>
    <xf numFmtId="0" fontId="0" fillId="7" borderId="0" xfId="0" applyFill="1"/>
    <xf numFmtId="44" fontId="0" fillId="7" borderId="0" xfId="1" applyFont="1" applyFill="1"/>
    <xf numFmtId="0" fontId="0" fillId="8" borderId="0" xfId="0" applyFill="1"/>
    <xf numFmtId="44" fontId="0" fillId="8" borderId="0" xfId="1" applyFont="1" applyFill="1"/>
    <xf numFmtId="0" fontId="0" fillId="0" borderId="0" xfId="0" applyFill="1"/>
    <xf numFmtId="44" fontId="0" fillId="0" borderId="0" xfId="1" applyFont="1" applyFill="1"/>
    <xf numFmtId="0" fontId="0" fillId="0" borderId="0" xfId="1" applyNumberFormat="1" applyFont="1" applyFill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1" applyNumberFormat="1" applyFont="1" applyFill="1" applyAlignment="1">
      <alignment horizontal="center" vertical="center"/>
    </xf>
    <xf numFmtId="44" fontId="0" fillId="3" borderId="0" xfId="1" applyFont="1" applyFill="1"/>
    <xf numFmtId="0" fontId="0" fillId="3" borderId="0" xfId="1" applyNumberFormat="1" applyFont="1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4" fontId="0" fillId="0" borderId="0" xfId="0" applyNumberFormat="1"/>
    <xf numFmtId="44" fontId="0" fillId="5" borderId="0" xfId="0" applyNumberFormat="1" applyFill="1"/>
    <xf numFmtId="44" fontId="0" fillId="8" borderId="0" xfId="0" applyNumberFormat="1" applyFill="1"/>
    <xf numFmtId="44" fontId="0" fillId="9" borderId="0" xfId="1" applyFont="1" applyFill="1"/>
    <xf numFmtId="44" fontId="0" fillId="3" borderId="0" xfId="0" applyNumberFormat="1" applyFill="1"/>
    <xf numFmtId="44" fontId="0" fillId="12" borderId="0" xfId="0" applyNumberFormat="1" applyFill="1"/>
    <xf numFmtId="0" fontId="0" fillId="2" borderId="0" xfId="1" applyNumberFormat="1" applyFont="1" applyFill="1"/>
    <xf numFmtId="44" fontId="0" fillId="13" borderId="0" xfId="1" applyFont="1" applyFill="1"/>
    <xf numFmtId="0" fontId="2" fillId="0" borderId="0" xfId="0" applyFont="1"/>
    <xf numFmtId="0" fontId="0" fillId="14" borderId="0" xfId="0" applyFill="1"/>
    <xf numFmtId="0" fontId="0" fillId="11" borderId="0" xfId="0" applyFill="1"/>
    <xf numFmtId="0" fontId="0" fillId="0" borderId="0" xfId="0" quotePrefix="1"/>
    <xf numFmtId="0" fontId="0" fillId="14" borderId="0" xfId="1" applyNumberFormat="1" applyFont="1" applyFill="1"/>
    <xf numFmtId="0" fontId="0" fillId="10" borderId="0" xfId="1" applyNumberFormat="1" applyFont="1" applyFill="1"/>
    <xf numFmtId="0" fontId="0" fillId="6" borderId="0" xfId="1" applyNumberFormat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AFD0-4D64-435E-BC06-207992191DB2}">
  <dimension ref="A1:K56"/>
  <sheetViews>
    <sheetView topLeftCell="A43" zoomScale="190" zoomScaleNormal="190" workbookViewId="0">
      <selection activeCell="G49" sqref="G49"/>
    </sheetView>
  </sheetViews>
  <sheetFormatPr baseColWidth="10" defaultRowHeight="15" x14ac:dyDescent="0.25"/>
  <sheetData>
    <row r="1" spans="1:11" x14ac:dyDescent="0.25">
      <c r="B1" s="27" t="s">
        <v>1</v>
      </c>
      <c r="C1" s="27"/>
      <c r="D1" s="27"/>
    </row>
    <row r="2" spans="1:11" x14ac:dyDescent="0.25">
      <c r="A2" t="s">
        <v>0</v>
      </c>
      <c r="B2">
        <v>1</v>
      </c>
      <c r="C2">
        <v>2</v>
      </c>
      <c r="D2">
        <v>3</v>
      </c>
      <c r="E2" t="s">
        <v>2</v>
      </c>
    </row>
    <row r="3" spans="1:11" x14ac:dyDescent="0.25">
      <c r="A3">
        <v>1</v>
      </c>
      <c r="B3" s="4">
        <v>10</v>
      </c>
      <c r="C3" s="1">
        <v>8</v>
      </c>
      <c r="D3" s="1">
        <v>4</v>
      </c>
      <c r="E3">
        <v>90</v>
      </c>
    </row>
    <row r="4" spans="1:11" x14ac:dyDescent="0.25">
      <c r="A4">
        <v>2</v>
      </c>
      <c r="B4" s="1">
        <v>9</v>
      </c>
      <c r="C4" s="1">
        <v>5</v>
      </c>
      <c r="D4" s="1">
        <v>7</v>
      </c>
      <c r="E4">
        <v>100</v>
      </c>
    </row>
    <row r="5" spans="1:11" x14ac:dyDescent="0.25">
      <c r="A5">
        <v>3</v>
      </c>
      <c r="B5" s="1">
        <v>3</v>
      </c>
      <c r="C5" s="1">
        <v>6</v>
      </c>
      <c r="D5" s="1">
        <v>9</v>
      </c>
      <c r="E5">
        <v>90</v>
      </c>
    </row>
    <row r="6" spans="1:11" x14ac:dyDescent="0.25">
      <c r="A6">
        <v>4</v>
      </c>
      <c r="B6" s="1">
        <v>5</v>
      </c>
      <c r="C6" s="1">
        <v>7</v>
      </c>
      <c r="D6" s="1">
        <v>6</v>
      </c>
      <c r="E6">
        <v>60</v>
      </c>
    </row>
    <row r="7" spans="1:11" x14ac:dyDescent="0.25">
      <c r="A7" t="s">
        <v>3</v>
      </c>
      <c r="B7">
        <v>180</v>
      </c>
      <c r="C7">
        <v>60</v>
      </c>
      <c r="D7">
        <v>100</v>
      </c>
    </row>
    <row r="9" spans="1:11" x14ac:dyDescent="0.25">
      <c r="B9" s="27" t="s">
        <v>1</v>
      </c>
      <c r="C9" s="27"/>
      <c r="D9" s="27"/>
      <c r="G9" t="s">
        <v>5</v>
      </c>
      <c r="H9" s="27" t="s">
        <v>1</v>
      </c>
      <c r="I9" s="27"/>
      <c r="J9" s="27"/>
    </row>
    <row r="10" spans="1:11" x14ac:dyDescent="0.25">
      <c r="A10" t="s">
        <v>0</v>
      </c>
      <c r="B10">
        <v>1</v>
      </c>
      <c r="C10">
        <v>2</v>
      </c>
      <c r="D10">
        <v>3</v>
      </c>
      <c r="E10" t="s">
        <v>2</v>
      </c>
      <c r="G10" t="s">
        <v>0</v>
      </c>
      <c r="H10">
        <v>1</v>
      </c>
      <c r="I10">
        <v>2</v>
      </c>
      <c r="J10">
        <v>3</v>
      </c>
      <c r="K10" t="s">
        <v>2</v>
      </c>
    </row>
    <row r="11" spans="1:11" x14ac:dyDescent="0.25">
      <c r="A11">
        <v>1</v>
      </c>
      <c r="B11" s="5">
        <v>90</v>
      </c>
      <c r="C11" s="3"/>
      <c r="D11" s="3"/>
      <c r="E11" s="3">
        <v>90</v>
      </c>
      <c r="G11">
        <v>1</v>
      </c>
      <c r="H11">
        <v>90</v>
      </c>
      <c r="K11">
        <v>90</v>
      </c>
    </row>
    <row r="12" spans="1:11" x14ac:dyDescent="0.25">
      <c r="A12">
        <v>2</v>
      </c>
      <c r="B12" s="2"/>
      <c r="E12">
        <v>100</v>
      </c>
      <c r="G12">
        <v>2</v>
      </c>
      <c r="K12">
        <v>100</v>
      </c>
    </row>
    <row r="13" spans="1:11" x14ac:dyDescent="0.25">
      <c r="A13">
        <v>3</v>
      </c>
      <c r="E13">
        <v>90</v>
      </c>
      <c r="G13">
        <v>3</v>
      </c>
      <c r="K13">
        <v>90</v>
      </c>
    </row>
    <row r="14" spans="1:11" x14ac:dyDescent="0.25">
      <c r="A14">
        <v>4</v>
      </c>
      <c r="E14">
        <v>60</v>
      </c>
      <c r="G14">
        <v>4</v>
      </c>
      <c r="K14">
        <v>60</v>
      </c>
    </row>
    <row r="15" spans="1:11" x14ac:dyDescent="0.25">
      <c r="A15" t="s">
        <v>3</v>
      </c>
      <c r="B15">
        <v>90</v>
      </c>
      <c r="C15">
        <v>60</v>
      </c>
      <c r="D15">
        <v>100</v>
      </c>
      <c r="G15" t="s">
        <v>3</v>
      </c>
      <c r="H15">
        <v>180</v>
      </c>
      <c r="I15">
        <v>60</v>
      </c>
      <c r="J15">
        <v>100</v>
      </c>
    </row>
    <row r="17" spans="1:11" x14ac:dyDescent="0.25">
      <c r="B17" s="27" t="s">
        <v>1</v>
      </c>
      <c r="C17" s="27"/>
      <c r="D17" s="27"/>
      <c r="G17" t="s">
        <v>5</v>
      </c>
      <c r="H17" s="27" t="s">
        <v>1</v>
      </c>
      <c r="I17" s="27"/>
      <c r="J17" s="27"/>
      <c r="K17" t="s">
        <v>2</v>
      </c>
    </row>
    <row r="18" spans="1:11" x14ac:dyDescent="0.25">
      <c r="A18" t="s">
        <v>0</v>
      </c>
      <c r="B18">
        <v>1</v>
      </c>
      <c r="C18">
        <v>2</v>
      </c>
      <c r="D18">
        <v>3</v>
      </c>
      <c r="E18" t="s">
        <v>2</v>
      </c>
      <c r="G18" t="s">
        <v>0</v>
      </c>
      <c r="H18">
        <v>1</v>
      </c>
      <c r="I18">
        <v>2</v>
      </c>
      <c r="J18">
        <v>3</v>
      </c>
    </row>
    <row r="19" spans="1:11" x14ac:dyDescent="0.25">
      <c r="A19">
        <v>1</v>
      </c>
      <c r="B19" s="5">
        <v>90</v>
      </c>
      <c r="C19" s="3"/>
      <c r="D19" s="3"/>
      <c r="E19" s="3">
        <v>90</v>
      </c>
      <c r="G19">
        <v>1</v>
      </c>
      <c r="H19">
        <v>90</v>
      </c>
      <c r="K19">
        <v>90</v>
      </c>
    </row>
    <row r="20" spans="1:11" x14ac:dyDescent="0.25">
      <c r="A20">
        <v>2</v>
      </c>
      <c r="B20" s="5">
        <v>90</v>
      </c>
      <c r="C20" s="2"/>
      <c r="E20">
        <v>10</v>
      </c>
      <c r="G20">
        <v>2</v>
      </c>
      <c r="H20">
        <v>90</v>
      </c>
      <c r="K20">
        <v>100</v>
      </c>
    </row>
    <row r="21" spans="1:11" x14ac:dyDescent="0.25">
      <c r="A21">
        <v>3</v>
      </c>
      <c r="B21" s="3"/>
      <c r="E21">
        <v>90</v>
      </c>
      <c r="G21">
        <v>3</v>
      </c>
      <c r="K21">
        <v>90</v>
      </c>
    </row>
    <row r="22" spans="1:11" x14ac:dyDescent="0.25">
      <c r="A22">
        <v>4</v>
      </c>
      <c r="B22" s="3"/>
      <c r="E22">
        <v>60</v>
      </c>
      <c r="G22">
        <v>4</v>
      </c>
      <c r="K22">
        <v>60</v>
      </c>
    </row>
    <row r="23" spans="1:11" x14ac:dyDescent="0.25">
      <c r="A23" t="s">
        <v>3</v>
      </c>
      <c r="B23" s="3">
        <v>90</v>
      </c>
      <c r="C23">
        <v>60</v>
      </c>
      <c r="D23">
        <v>100</v>
      </c>
      <c r="G23" t="s">
        <v>3</v>
      </c>
      <c r="H23">
        <v>180</v>
      </c>
      <c r="I23">
        <v>60</v>
      </c>
      <c r="J23">
        <v>100</v>
      </c>
    </row>
    <row r="25" spans="1:11" x14ac:dyDescent="0.25">
      <c r="B25" s="27" t="s">
        <v>1</v>
      </c>
      <c r="C25" s="27"/>
      <c r="D25" s="27"/>
      <c r="G25" t="s">
        <v>5</v>
      </c>
      <c r="H25" s="27" t="s">
        <v>1</v>
      </c>
      <c r="I25" s="27"/>
      <c r="J25" s="27"/>
      <c r="K25" t="s">
        <v>2</v>
      </c>
    </row>
    <row r="26" spans="1:11" x14ac:dyDescent="0.25">
      <c r="A26" t="s">
        <v>0</v>
      </c>
      <c r="B26">
        <v>1</v>
      </c>
      <c r="C26">
        <v>2</v>
      </c>
      <c r="D26">
        <v>3</v>
      </c>
      <c r="E26" t="s">
        <v>2</v>
      </c>
      <c r="G26" t="s">
        <v>0</v>
      </c>
      <c r="H26">
        <v>1</v>
      </c>
      <c r="I26">
        <v>2</v>
      </c>
      <c r="J26">
        <v>3</v>
      </c>
    </row>
    <row r="27" spans="1:11" x14ac:dyDescent="0.25">
      <c r="A27">
        <v>1</v>
      </c>
      <c r="B27" s="5">
        <v>90</v>
      </c>
      <c r="C27" s="3"/>
      <c r="D27" s="3"/>
      <c r="E27" s="3">
        <v>90</v>
      </c>
      <c r="G27">
        <v>1</v>
      </c>
      <c r="H27">
        <v>90</v>
      </c>
      <c r="K27">
        <v>90</v>
      </c>
    </row>
    <row r="28" spans="1:11" x14ac:dyDescent="0.25">
      <c r="A28">
        <v>2</v>
      </c>
      <c r="B28" s="5">
        <v>90</v>
      </c>
      <c r="C28" s="3">
        <v>10</v>
      </c>
      <c r="D28" s="3"/>
      <c r="E28" s="3">
        <v>10</v>
      </c>
      <c r="G28">
        <v>2</v>
      </c>
      <c r="H28">
        <v>90</v>
      </c>
      <c r="I28">
        <v>10</v>
      </c>
      <c r="K28">
        <v>100</v>
      </c>
    </row>
    <row r="29" spans="1:11" x14ac:dyDescent="0.25">
      <c r="A29">
        <v>3</v>
      </c>
      <c r="B29" s="3"/>
      <c r="C29" s="2"/>
      <c r="E29">
        <v>90</v>
      </c>
      <c r="G29">
        <v>3</v>
      </c>
      <c r="K29">
        <v>90</v>
      </c>
    </row>
    <row r="30" spans="1:11" x14ac:dyDescent="0.25">
      <c r="A30">
        <v>4</v>
      </c>
      <c r="B30" s="3"/>
      <c r="E30">
        <v>60</v>
      </c>
      <c r="G30">
        <v>4</v>
      </c>
      <c r="K30">
        <v>60</v>
      </c>
    </row>
    <row r="31" spans="1:11" x14ac:dyDescent="0.25">
      <c r="A31" t="s">
        <v>3</v>
      </c>
      <c r="B31" s="3">
        <v>90</v>
      </c>
      <c r="C31">
        <v>50</v>
      </c>
      <c r="D31">
        <v>100</v>
      </c>
      <c r="G31" t="s">
        <v>3</v>
      </c>
      <c r="H31">
        <v>180</v>
      </c>
      <c r="I31">
        <v>60</v>
      </c>
      <c r="J31">
        <v>100</v>
      </c>
    </row>
    <row r="33" spans="1:11" x14ac:dyDescent="0.25">
      <c r="B33" s="27" t="s">
        <v>1</v>
      </c>
      <c r="C33" s="27"/>
      <c r="D33" s="27"/>
      <c r="G33" t="s">
        <v>5</v>
      </c>
      <c r="H33" s="27" t="s">
        <v>1</v>
      </c>
      <c r="I33" s="27"/>
      <c r="J33" s="27"/>
      <c r="K33" t="s">
        <v>2</v>
      </c>
    </row>
    <row r="34" spans="1:11" x14ac:dyDescent="0.25">
      <c r="A34" t="s">
        <v>0</v>
      </c>
      <c r="B34">
        <v>1</v>
      </c>
      <c r="C34">
        <v>2</v>
      </c>
      <c r="D34">
        <v>3</v>
      </c>
      <c r="E34" t="s">
        <v>2</v>
      </c>
      <c r="G34" t="s">
        <v>0</v>
      </c>
      <c r="H34">
        <v>1</v>
      </c>
      <c r="I34">
        <v>2</v>
      </c>
      <c r="J34">
        <v>3</v>
      </c>
    </row>
    <row r="35" spans="1:11" x14ac:dyDescent="0.25">
      <c r="A35">
        <v>1</v>
      </c>
      <c r="B35" s="5">
        <v>90</v>
      </c>
      <c r="C35" s="3"/>
      <c r="D35" s="3"/>
      <c r="E35" s="3">
        <v>90</v>
      </c>
      <c r="G35">
        <v>1</v>
      </c>
      <c r="H35">
        <v>90</v>
      </c>
      <c r="K35">
        <v>90</v>
      </c>
    </row>
    <row r="36" spans="1:11" x14ac:dyDescent="0.25">
      <c r="A36">
        <v>2</v>
      </c>
      <c r="B36" s="5">
        <v>90</v>
      </c>
      <c r="C36" s="3">
        <v>10</v>
      </c>
      <c r="D36" s="3"/>
      <c r="E36" s="3">
        <v>10</v>
      </c>
      <c r="G36">
        <v>2</v>
      </c>
      <c r="H36">
        <v>90</v>
      </c>
      <c r="I36">
        <v>10</v>
      </c>
      <c r="K36">
        <v>100</v>
      </c>
    </row>
    <row r="37" spans="1:11" x14ac:dyDescent="0.25">
      <c r="A37">
        <v>3</v>
      </c>
      <c r="B37" s="3"/>
      <c r="C37" s="3">
        <f>+MIN(E37,C39)</f>
        <v>40</v>
      </c>
      <c r="D37" s="2"/>
      <c r="E37">
        <v>40</v>
      </c>
      <c r="G37">
        <v>3</v>
      </c>
      <c r="I37">
        <v>50</v>
      </c>
      <c r="K37">
        <v>90</v>
      </c>
    </row>
    <row r="38" spans="1:11" x14ac:dyDescent="0.25">
      <c r="A38">
        <v>4</v>
      </c>
      <c r="B38" s="3"/>
      <c r="C38" s="3"/>
      <c r="E38">
        <v>60</v>
      </c>
      <c r="G38">
        <v>4</v>
      </c>
      <c r="K38">
        <v>60</v>
      </c>
    </row>
    <row r="39" spans="1:11" x14ac:dyDescent="0.25">
      <c r="A39" t="s">
        <v>3</v>
      </c>
      <c r="B39" s="3">
        <v>90</v>
      </c>
      <c r="C39" s="3">
        <v>50</v>
      </c>
      <c r="D39">
        <v>100</v>
      </c>
      <c r="G39" t="s">
        <v>3</v>
      </c>
      <c r="H39">
        <v>180</v>
      </c>
      <c r="I39">
        <v>60</v>
      </c>
      <c r="J39">
        <v>100</v>
      </c>
    </row>
    <row r="41" spans="1:11" x14ac:dyDescent="0.25">
      <c r="B41" s="27" t="s">
        <v>1</v>
      </c>
      <c r="C41" s="27"/>
      <c r="D41" s="27"/>
      <c r="G41" t="s">
        <v>5</v>
      </c>
      <c r="H41" s="27" t="s">
        <v>1</v>
      </c>
      <c r="I41" s="27"/>
      <c r="J41" s="27"/>
      <c r="K41" t="s">
        <v>2</v>
      </c>
    </row>
    <row r="42" spans="1:11" x14ac:dyDescent="0.25">
      <c r="A42" t="s">
        <v>0</v>
      </c>
      <c r="B42">
        <v>1</v>
      </c>
      <c r="C42">
        <v>2</v>
      </c>
      <c r="D42">
        <v>3</v>
      </c>
      <c r="E42" t="s">
        <v>2</v>
      </c>
      <c r="G42" t="s">
        <v>0</v>
      </c>
      <c r="H42">
        <v>1</v>
      </c>
      <c r="I42">
        <v>2</v>
      </c>
      <c r="J42">
        <v>3</v>
      </c>
    </row>
    <row r="43" spans="1:11" x14ac:dyDescent="0.25">
      <c r="A43">
        <v>1</v>
      </c>
      <c r="B43" s="5">
        <v>90</v>
      </c>
      <c r="C43" s="3"/>
      <c r="D43" s="3"/>
      <c r="E43" s="3">
        <v>90</v>
      </c>
      <c r="G43">
        <v>1</v>
      </c>
      <c r="H43" s="2">
        <v>90</v>
      </c>
      <c r="K43">
        <v>90</v>
      </c>
    </row>
    <row r="44" spans="1:11" x14ac:dyDescent="0.25">
      <c r="A44">
        <v>2</v>
      </c>
      <c r="B44" s="5">
        <v>90</v>
      </c>
      <c r="C44" s="3">
        <v>10</v>
      </c>
      <c r="D44" s="3"/>
      <c r="E44" s="3">
        <v>10</v>
      </c>
      <c r="G44">
        <v>2</v>
      </c>
      <c r="H44" s="7">
        <v>90</v>
      </c>
      <c r="I44" s="9">
        <v>10</v>
      </c>
      <c r="K44">
        <v>100</v>
      </c>
    </row>
    <row r="45" spans="1:11" x14ac:dyDescent="0.25">
      <c r="A45">
        <v>3</v>
      </c>
      <c r="B45" s="3"/>
      <c r="C45" s="3">
        <f>+MIN(E45,C47)</f>
        <v>40</v>
      </c>
      <c r="D45" s="3">
        <v>40</v>
      </c>
      <c r="E45" s="3">
        <v>40</v>
      </c>
      <c r="G45">
        <v>3</v>
      </c>
      <c r="I45" s="11">
        <v>50</v>
      </c>
      <c r="J45" s="12">
        <v>40</v>
      </c>
      <c r="K45">
        <v>90</v>
      </c>
    </row>
    <row r="46" spans="1:11" x14ac:dyDescent="0.25">
      <c r="A46">
        <v>4</v>
      </c>
      <c r="B46" s="3"/>
      <c r="C46" s="3"/>
      <c r="D46" s="3">
        <v>60</v>
      </c>
      <c r="E46" s="3">
        <v>60</v>
      </c>
      <c r="G46">
        <v>4</v>
      </c>
      <c r="J46" s="14">
        <v>60</v>
      </c>
      <c r="K46">
        <v>60</v>
      </c>
    </row>
    <row r="47" spans="1:11" x14ac:dyDescent="0.25">
      <c r="A47" t="s">
        <v>3</v>
      </c>
      <c r="B47" s="3">
        <v>90</v>
      </c>
      <c r="C47" s="3">
        <v>50</v>
      </c>
      <c r="D47" s="3">
        <v>100</v>
      </c>
      <c r="E47" s="3"/>
      <c r="G47" t="s">
        <v>3</v>
      </c>
      <c r="H47">
        <v>180</v>
      </c>
      <c r="I47">
        <v>60</v>
      </c>
      <c r="J47">
        <v>100</v>
      </c>
    </row>
    <row r="49" spans="3:8" x14ac:dyDescent="0.25">
      <c r="F49" t="s">
        <v>4</v>
      </c>
      <c r="G49">
        <f>+SUMPRODUCT(B3:D6,H43:J46)</f>
        <v>2780</v>
      </c>
      <c r="H49" t="s">
        <v>6</v>
      </c>
    </row>
    <row r="52" spans="3:8" x14ac:dyDescent="0.25">
      <c r="C52" t="s">
        <v>0</v>
      </c>
      <c r="D52">
        <v>1</v>
      </c>
      <c r="E52">
        <v>2</v>
      </c>
      <c r="F52">
        <v>3</v>
      </c>
    </row>
    <row r="53" spans="3:8" x14ac:dyDescent="0.25">
      <c r="C53">
        <v>1</v>
      </c>
      <c r="D53" s="4">
        <v>10</v>
      </c>
      <c r="E53" s="1">
        <v>8</v>
      </c>
      <c r="F53" s="1">
        <v>4</v>
      </c>
    </row>
    <row r="54" spans="3:8" x14ac:dyDescent="0.25">
      <c r="C54">
        <v>2</v>
      </c>
      <c r="D54" s="6">
        <v>9</v>
      </c>
      <c r="E54" s="8">
        <v>5</v>
      </c>
      <c r="F54" s="1">
        <v>7</v>
      </c>
    </row>
    <row r="55" spans="3:8" x14ac:dyDescent="0.25">
      <c r="C55">
        <v>3</v>
      </c>
      <c r="D55" s="1">
        <v>3</v>
      </c>
      <c r="E55" s="10">
        <v>6</v>
      </c>
      <c r="F55" s="13">
        <v>9</v>
      </c>
    </row>
    <row r="56" spans="3:8" x14ac:dyDescent="0.25">
      <c r="C56">
        <v>4</v>
      </c>
      <c r="D56" s="1">
        <v>5</v>
      </c>
      <c r="E56" s="1">
        <v>7</v>
      </c>
      <c r="F56" s="15">
        <v>6</v>
      </c>
    </row>
  </sheetData>
  <mergeCells count="11">
    <mergeCell ref="B33:D33"/>
    <mergeCell ref="H33:J33"/>
    <mergeCell ref="B41:D41"/>
    <mergeCell ref="H41:J41"/>
    <mergeCell ref="B1:D1"/>
    <mergeCell ref="B9:D9"/>
    <mergeCell ref="H9:J9"/>
    <mergeCell ref="B17:D17"/>
    <mergeCell ref="H17:J17"/>
    <mergeCell ref="B25:D25"/>
    <mergeCell ref="H25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5993-4449-4233-B2A9-67E12EFE357B}">
  <dimension ref="A1:K38"/>
  <sheetViews>
    <sheetView topLeftCell="A34" zoomScale="210" zoomScaleNormal="210" workbookViewId="0">
      <selection activeCell="G11" sqref="G11:K18"/>
    </sheetView>
  </sheetViews>
  <sheetFormatPr baseColWidth="10" defaultRowHeight="15" x14ac:dyDescent="0.25"/>
  <sheetData>
    <row r="1" spans="1:11" x14ac:dyDescent="0.25">
      <c r="A1" s="16"/>
      <c r="B1" s="28" t="s">
        <v>1</v>
      </c>
      <c r="C1" s="28"/>
      <c r="D1" s="28"/>
      <c r="E1" s="16"/>
    </row>
    <row r="2" spans="1:11" x14ac:dyDescent="0.25">
      <c r="A2" s="16" t="s">
        <v>0</v>
      </c>
      <c r="B2" s="16">
        <v>1</v>
      </c>
      <c r="C2" s="16">
        <v>2</v>
      </c>
      <c r="D2" s="16">
        <v>3</v>
      </c>
      <c r="E2" s="16" t="s">
        <v>2</v>
      </c>
    </row>
    <row r="3" spans="1:11" x14ac:dyDescent="0.25">
      <c r="A3" s="16">
        <v>1</v>
      </c>
      <c r="B3" s="4">
        <v>19</v>
      </c>
      <c r="C3" s="17">
        <v>16</v>
      </c>
      <c r="D3" s="17">
        <v>11</v>
      </c>
      <c r="E3" s="18">
        <v>130</v>
      </c>
      <c r="F3">
        <f>+SUM(E3:E7)</f>
        <v>320</v>
      </c>
    </row>
    <row r="4" spans="1:11" x14ac:dyDescent="0.25">
      <c r="A4" s="16">
        <v>2</v>
      </c>
      <c r="B4" s="17">
        <v>11</v>
      </c>
      <c r="C4" s="17">
        <v>8</v>
      </c>
      <c r="D4" s="17">
        <v>6</v>
      </c>
      <c r="E4" s="18">
        <v>60</v>
      </c>
    </row>
    <row r="5" spans="1:11" x14ac:dyDescent="0.25">
      <c r="A5" s="16">
        <v>3</v>
      </c>
      <c r="B5" s="17">
        <v>13</v>
      </c>
      <c r="C5" s="17">
        <v>9</v>
      </c>
      <c r="D5" s="17">
        <v>18</v>
      </c>
      <c r="E5" s="18">
        <v>28</v>
      </c>
    </row>
    <row r="6" spans="1:11" x14ac:dyDescent="0.25">
      <c r="A6" s="16">
        <v>4</v>
      </c>
      <c r="B6" s="17">
        <v>17</v>
      </c>
      <c r="C6" s="17">
        <v>5</v>
      </c>
      <c r="D6" s="17">
        <v>15</v>
      </c>
      <c r="E6" s="18">
        <v>93</v>
      </c>
    </row>
    <row r="7" spans="1:11" x14ac:dyDescent="0.25">
      <c r="A7" s="16" t="s">
        <v>7</v>
      </c>
      <c r="B7" s="17">
        <v>0</v>
      </c>
      <c r="C7" s="17">
        <v>0</v>
      </c>
      <c r="D7" s="17">
        <v>0</v>
      </c>
      <c r="E7" s="18">
        <v>9</v>
      </c>
    </row>
    <row r="8" spans="1:11" x14ac:dyDescent="0.25">
      <c r="A8" s="16" t="s">
        <v>3</v>
      </c>
      <c r="B8" s="16">
        <v>90</v>
      </c>
      <c r="C8" s="16">
        <v>80</v>
      </c>
      <c r="D8" s="16">
        <v>150</v>
      </c>
    </row>
    <row r="9" spans="1:11" x14ac:dyDescent="0.25">
      <c r="C9" s="16">
        <f>SUM(B8:D8)</f>
        <v>320</v>
      </c>
    </row>
    <row r="11" spans="1:11" x14ac:dyDescent="0.25">
      <c r="A11" s="16"/>
      <c r="B11" s="28" t="s">
        <v>1</v>
      </c>
      <c r="C11" s="28"/>
      <c r="D11" s="28"/>
      <c r="E11" s="16"/>
      <c r="G11" s="16" t="s">
        <v>5</v>
      </c>
      <c r="H11" s="28" t="s">
        <v>1</v>
      </c>
      <c r="I11" s="28"/>
      <c r="J11" s="28"/>
      <c r="K11" s="16"/>
    </row>
    <row r="12" spans="1:11" x14ac:dyDescent="0.25">
      <c r="A12" s="16" t="s">
        <v>0</v>
      </c>
      <c r="B12" s="16">
        <v>1</v>
      </c>
      <c r="C12" s="16">
        <v>2</v>
      </c>
      <c r="D12" s="16">
        <v>3</v>
      </c>
      <c r="E12" s="16" t="s">
        <v>2</v>
      </c>
      <c r="G12" s="16" t="s">
        <v>0</v>
      </c>
      <c r="H12" s="16">
        <v>1</v>
      </c>
      <c r="I12" s="16">
        <v>2</v>
      </c>
      <c r="J12" s="16">
        <v>3</v>
      </c>
      <c r="K12" s="16" t="s">
        <v>2</v>
      </c>
    </row>
    <row r="13" spans="1:11" x14ac:dyDescent="0.25">
      <c r="A13" s="19">
        <v>1</v>
      </c>
      <c r="B13" s="22">
        <f>+MIN(B8,E3)</f>
        <v>90</v>
      </c>
      <c r="C13" s="23"/>
      <c r="D13" s="20"/>
      <c r="E13" s="21">
        <v>40</v>
      </c>
      <c r="G13" s="19">
        <v>1</v>
      </c>
      <c r="H13" s="20">
        <v>90</v>
      </c>
      <c r="I13" s="20"/>
      <c r="J13" s="20"/>
      <c r="K13" s="21">
        <v>130</v>
      </c>
    </row>
    <row r="14" spans="1:11" x14ac:dyDescent="0.25">
      <c r="A14" s="19">
        <v>2</v>
      </c>
      <c r="B14" s="22"/>
      <c r="C14" s="20"/>
      <c r="D14" s="20"/>
      <c r="E14" s="21">
        <v>60</v>
      </c>
      <c r="G14" s="19">
        <v>2</v>
      </c>
      <c r="H14" s="20"/>
      <c r="I14" s="20"/>
      <c r="J14" s="20"/>
      <c r="K14" s="21">
        <v>60</v>
      </c>
    </row>
    <row r="15" spans="1:11" x14ac:dyDescent="0.25">
      <c r="A15" s="19">
        <v>3</v>
      </c>
      <c r="B15" s="22"/>
      <c r="C15" s="20"/>
      <c r="D15" s="20"/>
      <c r="E15" s="21">
        <v>28</v>
      </c>
      <c r="G15" s="19">
        <v>3</v>
      </c>
      <c r="H15" s="20"/>
      <c r="I15" s="20"/>
      <c r="J15" s="20"/>
      <c r="K15" s="21">
        <v>28</v>
      </c>
    </row>
    <row r="16" spans="1:11" x14ac:dyDescent="0.25">
      <c r="A16" s="19">
        <v>4</v>
      </c>
      <c r="B16" s="22"/>
      <c r="C16" s="20"/>
      <c r="D16" s="20"/>
      <c r="E16" s="21">
        <v>93</v>
      </c>
      <c r="G16" s="19">
        <v>4</v>
      </c>
      <c r="H16" s="20"/>
      <c r="I16" s="20"/>
      <c r="J16" s="20"/>
      <c r="K16" s="21">
        <v>93</v>
      </c>
    </row>
    <row r="17" spans="1:11" x14ac:dyDescent="0.25">
      <c r="A17" s="19" t="s">
        <v>7</v>
      </c>
      <c r="B17" s="22"/>
      <c r="C17" s="20"/>
      <c r="D17" s="20"/>
      <c r="E17" s="21">
        <v>9</v>
      </c>
      <c r="G17" s="19" t="s">
        <v>7</v>
      </c>
      <c r="H17" s="20"/>
      <c r="I17" s="20"/>
      <c r="J17" s="20"/>
      <c r="K17" s="21">
        <v>9</v>
      </c>
    </row>
    <row r="18" spans="1:11" x14ac:dyDescent="0.25">
      <c r="A18" s="16" t="s">
        <v>3</v>
      </c>
      <c r="B18" s="3">
        <v>90</v>
      </c>
      <c r="C18" s="16">
        <v>80</v>
      </c>
      <c r="D18" s="16">
        <v>150</v>
      </c>
      <c r="G18" s="16" t="s">
        <v>3</v>
      </c>
      <c r="H18" s="16">
        <v>90</v>
      </c>
      <c r="I18" s="16">
        <v>80</v>
      </c>
      <c r="J18" s="16">
        <v>150</v>
      </c>
    </row>
    <row r="20" spans="1:11" x14ac:dyDescent="0.25">
      <c r="A20" s="16"/>
      <c r="B20" s="28" t="s">
        <v>1</v>
      </c>
      <c r="C20" s="28"/>
      <c r="D20" s="28"/>
      <c r="E20" s="16"/>
      <c r="G20" s="16" t="s">
        <v>5</v>
      </c>
      <c r="H20" s="28" t="s">
        <v>1</v>
      </c>
      <c r="I20" s="28"/>
      <c r="J20" s="28"/>
      <c r="K20" s="16"/>
    </row>
    <row r="21" spans="1:11" x14ac:dyDescent="0.25">
      <c r="A21" s="16" t="s">
        <v>0</v>
      </c>
      <c r="B21" s="16">
        <v>1</v>
      </c>
      <c r="C21" s="16">
        <v>2</v>
      </c>
      <c r="D21" s="16">
        <v>3</v>
      </c>
      <c r="E21" s="16" t="s">
        <v>2</v>
      </c>
      <c r="G21" s="16" t="s">
        <v>0</v>
      </c>
      <c r="H21" s="16">
        <v>1</v>
      </c>
      <c r="I21" s="16">
        <v>2</v>
      </c>
      <c r="J21" s="16">
        <v>3</v>
      </c>
      <c r="K21" s="16" t="s">
        <v>2</v>
      </c>
    </row>
    <row r="22" spans="1:11" x14ac:dyDescent="0.25">
      <c r="A22" s="19">
        <v>1</v>
      </c>
      <c r="B22" s="22">
        <f>+MIN(B17,E12)</f>
        <v>0</v>
      </c>
      <c r="C22" s="22">
        <f>+MIN(E22,C27)</f>
        <v>40</v>
      </c>
      <c r="D22" s="22"/>
      <c r="E22" s="24">
        <v>40</v>
      </c>
      <c r="G22" s="19">
        <v>1</v>
      </c>
      <c r="H22" s="20">
        <v>90</v>
      </c>
      <c r="I22" s="20">
        <v>40</v>
      </c>
      <c r="J22" s="20"/>
      <c r="K22" s="21">
        <v>130</v>
      </c>
    </row>
    <row r="23" spans="1:11" x14ac:dyDescent="0.25">
      <c r="A23" s="19">
        <v>2</v>
      </c>
      <c r="B23" s="22"/>
      <c r="C23" s="23"/>
      <c r="D23" s="20"/>
      <c r="E23" s="21">
        <v>60</v>
      </c>
      <c r="G23" s="19">
        <v>2</v>
      </c>
      <c r="H23" s="20"/>
      <c r="I23" s="20"/>
      <c r="J23" s="20"/>
      <c r="K23" s="21">
        <v>60</v>
      </c>
    </row>
    <row r="24" spans="1:11" x14ac:dyDescent="0.25">
      <c r="A24" s="19">
        <v>3</v>
      </c>
      <c r="B24" s="22"/>
      <c r="C24" s="20"/>
      <c r="D24" s="20"/>
      <c r="E24" s="21">
        <v>28</v>
      </c>
      <c r="G24" s="19">
        <v>3</v>
      </c>
      <c r="H24" s="20"/>
      <c r="I24" s="20"/>
      <c r="J24" s="20"/>
      <c r="K24" s="21">
        <v>28</v>
      </c>
    </row>
    <row r="25" spans="1:11" x14ac:dyDescent="0.25">
      <c r="A25" s="19">
        <v>4</v>
      </c>
      <c r="B25" s="22"/>
      <c r="C25" s="20"/>
      <c r="D25" s="20"/>
      <c r="E25" s="21">
        <v>93</v>
      </c>
      <c r="G25" s="19">
        <v>4</v>
      </c>
      <c r="H25" s="20"/>
      <c r="I25" s="20"/>
      <c r="J25" s="20"/>
      <c r="K25" s="21">
        <v>93</v>
      </c>
    </row>
    <row r="26" spans="1:11" x14ac:dyDescent="0.25">
      <c r="A26" s="19" t="s">
        <v>7</v>
      </c>
      <c r="B26" s="22"/>
      <c r="C26" s="20"/>
      <c r="D26" s="20"/>
      <c r="E26" s="21">
        <v>9</v>
      </c>
      <c r="G26" s="19" t="s">
        <v>7</v>
      </c>
      <c r="H26" s="20"/>
      <c r="I26" s="20"/>
      <c r="J26" s="20"/>
      <c r="K26" s="21">
        <v>9</v>
      </c>
    </row>
    <row r="27" spans="1:11" x14ac:dyDescent="0.25">
      <c r="A27" s="16" t="s">
        <v>3</v>
      </c>
      <c r="B27" s="3">
        <v>90</v>
      </c>
      <c r="C27" s="16">
        <v>40</v>
      </c>
      <c r="D27" s="16">
        <v>150</v>
      </c>
      <c r="G27" s="16" t="s">
        <v>3</v>
      </c>
      <c r="H27" s="16">
        <v>90</v>
      </c>
      <c r="I27" s="16">
        <v>80</v>
      </c>
      <c r="J27" s="16">
        <v>150</v>
      </c>
    </row>
    <row r="29" spans="1:11" x14ac:dyDescent="0.25">
      <c r="A29" s="16"/>
      <c r="B29" s="28" t="s">
        <v>1</v>
      </c>
      <c r="C29" s="28"/>
      <c r="D29" s="28"/>
      <c r="E29" s="16"/>
      <c r="G29" s="16" t="s">
        <v>5</v>
      </c>
      <c r="H29" s="28" t="s">
        <v>1</v>
      </c>
      <c r="I29" s="28"/>
      <c r="J29" s="28"/>
      <c r="K29" s="16"/>
    </row>
    <row r="30" spans="1:11" x14ac:dyDescent="0.25">
      <c r="A30" s="16" t="s">
        <v>0</v>
      </c>
      <c r="B30" s="16">
        <v>1</v>
      </c>
      <c r="C30" s="16">
        <v>2</v>
      </c>
      <c r="D30" s="16">
        <v>3</v>
      </c>
      <c r="E30" s="16" t="s">
        <v>2</v>
      </c>
      <c r="G30" s="16" t="s">
        <v>0</v>
      </c>
      <c r="H30" s="16">
        <v>1</v>
      </c>
      <c r="I30" s="16">
        <v>2</v>
      </c>
      <c r="J30" s="16">
        <v>3</v>
      </c>
      <c r="K30" s="16" t="s">
        <v>2</v>
      </c>
    </row>
    <row r="31" spans="1:11" x14ac:dyDescent="0.25">
      <c r="A31" s="19">
        <v>1</v>
      </c>
      <c r="B31" s="22">
        <f>+MIN(B26,E21)</f>
        <v>0</v>
      </c>
      <c r="C31" s="22">
        <f>+MIN(E31,C36)</f>
        <v>40</v>
      </c>
      <c r="D31" s="22"/>
      <c r="E31" s="24">
        <v>40</v>
      </c>
      <c r="G31" s="19">
        <v>1</v>
      </c>
      <c r="H31" s="20">
        <v>90</v>
      </c>
      <c r="I31" s="20">
        <v>40</v>
      </c>
      <c r="J31" s="20"/>
      <c r="K31" s="21">
        <v>130</v>
      </c>
    </row>
    <row r="32" spans="1:11" x14ac:dyDescent="0.25">
      <c r="A32" s="19">
        <v>2</v>
      </c>
      <c r="B32" s="22"/>
      <c r="C32" s="22">
        <v>40</v>
      </c>
      <c r="D32" s="22"/>
      <c r="E32" s="24">
        <v>20</v>
      </c>
      <c r="G32" s="19">
        <v>2</v>
      </c>
      <c r="H32" s="20"/>
      <c r="I32" s="20">
        <v>40</v>
      </c>
      <c r="J32" s="21">
        <v>20</v>
      </c>
      <c r="K32" s="21">
        <v>60</v>
      </c>
    </row>
    <row r="33" spans="1:11" x14ac:dyDescent="0.25">
      <c r="A33" s="19">
        <v>3</v>
      </c>
      <c r="B33" s="22"/>
      <c r="C33" s="22"/>
      <c r="D33" s="22"/>
      <c r="E33" s="24">
        <v>28</v>
      </c>
      <c r="G33" s="19">
        <v>3</v>
      </c>
      <c r="H33" s="20"/>
      <c r="I33" s="20"/>
      <c r="J33" s="21">
        <v>28</v>
      </c>
      <c r="K33" s="21">
        <v>28</v>
      </c>
    </row>
    <row r="34" spans="1:11" x14ac:dyDescent="0.25">
      <c r="A34" s="19">
        <v>4</v>
      </c>
      <c r="B34" s="22"/>
      <c r="C34" s="22"/>
      <c r="D34" s="22"/>
      <c r="E34" s="24">
        <v>93</v>
      </c>
      <c r="G34" s="19">
        <v>4</v>
      </c>
      <c r="H34" s="20"/>
      <c r="I34" s="20"/>
      <c r="J34" s="21">
        <v>93</v>
      </c>
      <c r="K34" s="21">
        <v>93</v>
      </c>
    </row>
    <row r="35" spans="1:11" x14ac:dyDescent="0.25">
      <c r="A35" s="19" t="s">
        <v>7</v>
      </c>
      <c r="B35" s="22"/>
      <c r="C35" s="22"/>
      <c r="D35" s="22"/>
      <c r="E35" s="24">
        <v>9</v>
      </c>
      <c r="G35" s="19" t="s">
        <v>7</v>
      </c>
      <c r="H35" s="20"/>
      <c r="I35" s="20"/>
      <c r="J35" s="21">
        <v>9</v>
      </c>
      <c r="K35" s="21">
        <v>9</v>
      </c>
    </row>
    <row r="36" spans="1:11" x14ac:dyDescent="0.25">
      <c r="A36" s="16" t="s">
        <v>3</v>
      </c>
      <c r="B36" s="3">
        <v>90</v>
      </c>
      <c r="C36" s="3">
        <v>40</v>
      </c>
      <c r="D36" s="3">
        <v>150</v>
      </c>
      <c r="E36" s="3"/>
      <c r="G36" s="16" t="s">
        <v>3</v>
      </c>
      <c r="H36" s="16">
        <v>90</v>
      </c>
      <c r="I36" s="16">
        <v>80</v>
      </c>
      <c r="J36" s="16">
        <v>150</v>
      </c>
    </row>
    <row r="37" spans="1:11" x14ac:dyDescent="0.25">
      <c r="J37" s="21">
        <f>+J36-J35</f>
        <v>141</v>
      </c>
    </row>
    <row r="38" spans="1:11" x14ac:dyDescent="0.25">
      <c r="F38" t="s">
        <v>4</v>
      </c>
      <c r="G38">
        <f>+SUMPRODUCT(B3:D7,H31:J35)</f>
        <v>4689</v>
      </c>
    </row>
  </sheetData>
  <mergeCells count="7">
    <mergeCell ref="B29:D29"/>
    <mergeCell ref="H29:J29"/>
    <mergeCell ref="B1:D1"/>
    <mergeCell ref="B11:D11"/>
    <mergeCell ref="H11:J11"/>
    <mergeCell ref="B20:D20"/>
    <mergeCell ref="H20:J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2460-CB78-43DC-A3C4-508E67695623}">
  <dimension ref="A1:K57"/>
  <sheetViews>
    <sheetView topLeftCell="A49" zoomScale="190" zoomScaleNormal="190" workbookViewId="0">
      <selection activeCell="G57" sqref="G57"/>
    </sheetView>
  </sheetViews>
  <sheetFormatPr baseColWidth="10" defaultRowHeight="15" x14ac:dyDescent="0.25"/>
  <sheetData>
    <row r="1" spans="1:11" x14ac:dyDescent="0.25">
      <c r="B1" s="27" t="s">
        <v>1</v>
      </c>
      <c r="C1" s="27"/>
      <c r="D1" s="27"/>
    </row>
    <row r="2" spans="1:11" x14ac:dyDescent="0.25">
      <c r="A2" s="16" t="s">
        <v>0</v>
      </c>
      <c r="B2" s="16">
        <v>1</v>
      </c>
      <c r="C2" s="16">
        <v>2</v>
      </c>
      <c r="D2" s="16">
        <v>3</v>
      </c>
      <c r="E2" s="16" t="s">
        <v>2</v>
      </c>
      <c r="F2" s="16"/>
      <c r="G2" s="16"/>
      <c r="H2" s="16"/>
      <c r="I2" s="16"/>
      <c r="J2" s="16"/>
      <c r="K2" s="16"/>
    </row>
    <row r="3" spans="1:11" x14ac:dyDescent="0.25">
      <c r="A3" s="16">
        <v>1</v>
      </c>
      <c r="B3" s="17">
        <v>10</v>
      </c>
      <c r="C3" s="17">
        <v>8</v>
      </c>
      <c r="D3" s="17">
        <v>4</v>
      </c>
      <c r="E3" s="16">
        <v>90</v>
      </c>
      <c r="F3" s="16"/>
      <c r="G3" s="16"/>
      <c r="H3" s="16"/>
      <c r="I3" s="16"/>
      <c r="J3" s="16"/>
      <c r="K3" s="16"/>
    </row>
    <row r="4" spans="1:11" x14ac:dyDescent="0.25">
      <c r="A4" s="16">
        <v>2</v>
      </c>
      <c r="B4" s="17">
        <v>9</v>
      </c>
      <c r="C4" s="17">
        <v>5</v>
      </c>
      <c r="D4" s="17">
        <v>7</v>
      </c>
      <c r="E4" s="16">
        <v>100</v>
      </c>
      <c r="F4" s="16"/>
      <c r="G4" s="16"/>
      <c r="H4" s="16"/>
      <c r="I4" s="16"/>
      <c r="J4" s="16"/>
      <c r="K4" s="16"/>
    </row>
    <row r="5" spans="1:11" x14ac:dyDescent="0.25">
      <c r="A5" s="16">
        <v>3</v>
      </c>
      <c r="B5" s="4">
        <v>3</v>
      </c>
      <c r="C5" s="17">
        <v>6</v>
      </c>
      <c r="D5" s="17">
        <v>9</v>
      </c>
      <c r="E5" s="16">
        <v>90</v>
      </c>
      <c r="F5" s="16"/>
      <c r="G5" s="16"/>
      <c r="H5" s="16"/>
      <c r="I5" s="16"/>
      <c r="J5" s="16"/>
      <c r="K5" s="16"/>
    </row>
    <row r="6" spans="1:11" x14ac:dyDescent="0.25">
      <c r="A6" s="16">
        <v>4</v>
      </c>
      <c r="B6" s="17">
        <v>5</v>
      </c>
      <c r="C6" s="17">
        <v>7</v>
      </c>
      <c r="D6" s="17">
        <v>6</v>
      </c>
      <c r="E6" s="16">
        <v>60</v>
      </c>
      <c r="F6" s="16"/>
      <c r="G6" s="16"/>
      <c r="H6" s="16"/>
      <c r="I6" s="16"/>
      <c r="J6" s="16"/>
      <c r="K6" s="16"/>
    </row>
    <row r="7" spans="1:11" x14ac:dyDescent="0.25">
      <c r="A7" s="16" t="s">
        <v>3</v>
      </c>
      <c r="B7" s="16">
        <v>180</v>
      </c>
      <c r="C7" s="16">
        <v>60</v>
      </c>
      <c r="D7" s="16">
        <v>100</v>
      </c>
      <c r="E7" s="16"/>
      <c r="F7" s="16"/>
      <c r="G7" s="16"/>
      <c r="H7" s="16"/>
      <c r="I7" s="16"/>
      <c r="J7" s="16"/>
      <c r="K7" s="16"/>
    </row>
    <row r="8" spans="1:1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25">
      <c r="A9" s="16"/>
      <c r="B9" s="28" t="s">
        <v>1</v>
      </c>
      <c r="C9" s="28"/>
      <c r="D9" s="28"/>
      <c r="E9" s="16"/>
      <c r="F9" s="16"/>
      <c r="G9" s="16" t="s">
        <v>5</v>
      </c>
      <c r="H9" s="28" t="s">
        <v>1</v>
      </c>
      <c r="I9" s="28"/>
      <c r="J9" s="28"/>
      <c r="K9" s="16"/>
    </row>
    <row r="10" spans="1:11" x14ac:dyDescent="0.25">
      <c r="A10" s="16" t="s">
        <v>0</v>
      </c>
      <c r="B10" s="16">
        <v>1</v>
      </c>
      <c r="C10" s="16">
        <v>2</v>
      </c>
      <c r="D10" s="16">
        <v>3</v>
      </c>
      <c r="E10" s="16" t="s">
        <v>2</v>
      </c>
      <c r="F10" s="16"/>
      <c r="G10" s="16" t="s">
        <v>0</v>
      </c>
      <c r="H10" s="16">
        <v>1</v>
      </c>
      <c r="I10" s="16">
        <v>2</v>
      </c>
      <c r="J10" s="16">
        <v>3</v>
      </c>
      <c r="K10" s="16" t="s">
        <v>2</v>
      </c>
    </row>
    <row r="11" spans="1:11" x14ac:dyDescent="0.25">
      <c r="A11" s="16">
        <v>1</v>
      </c>
      <c r="B11" s="17">
        <v>10</v>
      </c>
      <c r="C11" s="17">
        <v>8</v>
      </c>
      <c r="D11" s="4">
        <v>4</v>
      </c>
      <c r="E11" s="16">
        <v>90</v>
      </c>
      <c r="F11" s="16"/>
      <c r="G11" s="16">
        <v>1</v>
      </c>
      <c r="H11" s="16"/>
      <c r="I11" s="16"/>
      <c r="J11" s="16"/>
      <c r="K11" s="16">
        <v>90</v>
      </c>
    </row>
    <row r="12" spans="1:11" x14ac:dyDescent="0.25">
      <c r="A12" s="16">
        <v>2</v>
      </c>
      <c r="B12" s="17">
        <v>9</v>
      </c>
      <c r="C12" s="17">
        <v>5</v>
      </c>
      <c r="D12" s="17">
        <v>7</v>
      </c>
      <c r="E12" s="16">
        <v>100</v>
      </c>
      <c r="F12" s="16"/>
      <c r="G12" s="16">
        <v>2</v>
      </c>
      <c r="H12" s="16"/>
      <c r="I12" s="16"/>
      <c r="J12" s="16"/>
      <c r="K12" s="16">
        <v>100</v>
      </c>
    </row>
    <row r="13" spans="1:11" x14ac:dyDescent="0.25">
      <c r="A13" s="16">
        <v>3</v>
      </c>
      <c r="B13" s="25">
        <v>3</v>
      </c>
      <c r="C13" s="25">
        <v>6</v>
      </c>
      <c r="D13" s="25">
        <v>9</v>
      </c>
      <c r="E13" s="3">
        <v>90</v>
      </c>
      <c r="F13" s="16"/>
      <c r="G13" s="16">
        <v>3</v>
      </c>
      <c r="H13" s="16">
        <v>90</v>
      </c>
      <c r="I13" s="16"/>
      <c r="J13" s="16"/>
      <c r="K13" s="16">
        <v>90</v>
      </c>
    </row>
    <row r="14" spans="1:11" x14ac:dyDescent="0.25">
      <c r="A14" s="16">
        <v>4</v>
      </c>
      <c r="B14" s="17">
        <v>5</v>
      </c>
      <c r="C14" s="17">
        <v>7</v>
      </c>
      <c r="D14" s="17">
        <v>6</v>
      </c>
      <c r="E14" s="16">
        <v>60</v>
      </c>
      <c r="F14" s="16"/>
      <c r="G14" s="16">
        <v>4</v>
      </c>
      <c r="H14" s="16"/>
      <c r="I14" s="16"/>
      <c r="J14" s="16"/>
      <c r="K14" s="16">
        <v>60</v>
      </c>
    </row>
    <row r="15" spans="1:11" x14ac:dyDescent="0.25">
      <c r="A15" s="16" t="s">
        <v>3</v>
      </c>
      <c r="B15" s="16">
        <v>90</v>
      </c>
      <c r="C15" s="16">
        <v>60</v>
      </c>
      <c r="D15" s="16">
        <v>100</v>
      </c>
      <c r="E15" s="16"/>
      <c r="F15" s="16"/>
      <c r="G15" s="16" t="s">
        <v>3</v>
      </c>
      <c r="H15" s="16">
        <v>180</v>
      </c>
      <c r="I15" s="16">
        <v>60</v>
      </c>
      <c r="J15" s="16">
        <v>100</v>
      </c>
      <c r="K15" s="16"/>
    </row>
    <row r="16" spans="1:1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x14ac:dyDescent="0.25">
      <c r="A17" s="16"/>
      <c r="B17" s="28" t="s">
        <v>1</v>
      </c>
      <c r="C17" s="28"/>
      <c r="D17" s="28"/>
      <c r="E17" s="16"/>
      <c r="F17" s="16"/>
      <c r="G17" s="16" t="s">
        <v>5</v>
      </c>
      <c r="H17" s="28" t="s">
        <v>1</v>
      </c>
      <c r="I17" s="28"/>
      <c r="J17" s="28"/>
      <c r="K17" s="16" t="s">
        <v>2</v>
      </c>
    </row>
    <row r="18" spans="1:11" x14ac:dyDescent="0.25">
      <c r="A18" s="16" t="s">
        <v>0</v>
      </c>
      <c r="B18" s="16">
        <v>1</v>
      </c>
      <c r="C18" s="16">
        <v>2</v>
      </c>
      <c r="D18" s="16">
        <v>3</v>
      </c>
      <c r="E18" s="16" t="s">
        <v>2</v>
      </c>
      <c r="F18" s="16"/>
      <c r="G18" s="16" t="s">
        <v>0</v>
      </c>
      <c r="H18" s="16">
        <v>1</v>
      </c>
      <c r="I18" s="16">
        <v>2</v>
      </c>
      <c r="J18" s="16">
        <v>3</v>
      </c>
      <c r="K18" s="16"/>
    </row>
    <row r="19" spans="1:11" x14ac:dyDescent="0.25">
      <c r="A19" s="16">
        <v>1</v>
      </c>
      <c r="B19" s="25">
        <v>10</v>
      </c>
      <c r="C19" s="25">
        <v>8</v>
      </c>
      <c r="D19" s="25">
        <v>4</v>
      </c>
      <c r="E19" s="3">
        <v>90</v>
      </c>
      <c r="F19" s="16"/>
      <c r="G19" s="16">
        <v>1</v>
      </c>
      <c r="H19" s="16"/>
      <c r="I19" s="16"/>
      <c r="J19" s="16">
        <v>90</v>
      </c>
      <c r="K19" s="16">
        <v>90</v>
      </c>
    </row>
    <row r="20" spans="1:11" x14ac:dyDescent="0.25">
      <c r="A20" s="16">
        <v>2</v>
      </c>
      <c r="B20" s="17">
        <v>9</v>
      </c>
      <c r="C20" s="4">
        <v>5</v>
      </c>
      <c r="D20" s="17">
        <v>7</v>
      </c>
      <c r="E20" s="16">
        <v>100</v>
      </c>
      <c r="F20" s="16"/>
      <c r="G20" s="16">
        <v>2</v>
      </c>
      <c r="H20" s="16"/>
      <c r="I20" s="16"/>
      <c r="J20" s="16"/>
      <c r="K20" s="16">
        <v>100</v>
      </c>
    </row>
    <row r="21" spans="1:11" x14ac:dyDescent="0.25">
      <c r="A21" s="16">
        <v>3</v>
      </c>
      <c r="B21" s="25">
        <v>3</v>
      </c>
      <c r="C21" s="25">
        <v>6</v>
      </c>
      <c r="D21" s="25">
        <v>9</v>
      </c>
      <c r="E21" s="3">
        <v>90</v>
      </c>
      <c r="F21" s="16"/>
      <c r="G21" s="16">
        <v>3</v>
      </c>
      <c r="H21" s="16">
        <v>90</v>
      </c>
      <c r="I21" s="16"/>
      <c r="J21" s="16"/>
      <c r="K21" s="16">
        <v>90</v>
      </c>
    </row>
    <row r="22" spans="1:11" x14ac:dyDescent="0.25">
      <c r="A22" s="16">
        <v>4</v>
      </c>
      <c r="B22" s="17">
        <v>5</v>
      </c>
      <c r="C22" s="17">
        <v>7</v>
      </c>
      <c r="D22" s="17">
        <v>6</v>
      </c>
      <c r="E22" s="16">
        <v>60</v>
      </c>
      <c r="F22" s="16"/>
      <c r="G22" s="16">
        <v>4</v>
      </c>
      <c r="H22" s="16"/>
      <c r="I22" s="16"/>
      <c r="J22" s="16"/>
      <c r="K22" s="16">
        <v>60</v>
      </c>
    </row>
    <row r="23" spans="1:11" x14ac:dyDescent="0.25">
      <c r="A23" s="16" t="s">
        <v>3</v>
      </c>
      <c r="B23" s="16">
        <v>90</v>
      </c>
      <c r="C23" s="16">
        <v>60</v>
      </c>
      <c r="D23" s="16">
        <v>10</v>
      </c>
      <c r="E23" s="16"/>
      <c r="F23" s="16"/>
      <c r="G23" s="16" t="s">
        <v>3</v>
      </c>
      <c r="H23" s="16">
        <v>180</v>
      </c>
      <c r="I23" s="16">
        <v>60</v>
      </c>
      <c r="J23" s="16">
        <v>100</v>
      </c>
      <c r="K23" s="16"/>
    </row>
    <row r="24" spans="1:1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x14ac:dyDescent="0.25">
      <c r="A25" s="16"/>
      <c r="B25" s="28" t="s">
        <v>1</v>
      </c>
      <c r="C25" s="28"/>
      <c r="D25" s="28"/>
      <c r="E25" s="16"/>
      <c r="F25" s="16"/>
      <c r="G25" s="16" t="s">
        <v>5</v>
      </c>
      <c r="H25" s="28" t="s">
        <v>1</v>
      </c>
      <c r="I25" s="28"/>
      <c r="J25" s="28"/>
      <c r="K25" s="16" t="s">
        <v>2</v>
      </c>
    </row>
    <row r="26" spans="1:11" x14ac:dyDescent="0.25">
      <c r="A26" s="16" t="s">
        <v>0</v>
      </c>
      <c r="B26" s="16">
        <v>1</v>
      </c>
      <c r="C26" s="16">
        <v>2</v>
      </c>
      <c r="D26" s="16">
        <v>3</v>
      </c>
      <c r="E26" s="16" t="s">
        <v>2</v>
      </c>
      <c r="F26" s="16"/>
      <c r="G26" s="16" t="s">
        <v>0</v>
      </c>
      <c r="H26" s="16">
        <v>1</v>
      </c>
      <c r="I26" s="16">
        <v>2</v>
      </c>
      <c r="J26" s="16">
        <v>3</v>
      </c>
      <c r="K26" s="16"/>
    </row>
    <row r="27" spans="1:11" x14ac:dyDescent="0.25">
      <c r="A27" s="16">
        <v>1</v>
      </c>
      <c r="B27" s="25">
        <v>10</v>
      </c>
      <c r="C27" s="25">
        <v>8</v>
      </c>
      <c r="D27" s="25">
        <v>4</v>
      </c>
      <c r="E27" s="3">
        <v>90</v>
      </c>
      <c r="F27" s="16"/>
      <c r="G27" s="16">
        <v>1</v>
      </c>
      <c r="H27" s="16"/>
      <c r="I27" s="16"/>
      <c r="J27" s="16">
        <v>90</v>
      </c>
      <c r="K27" s="16">
        <v>90</v>
      </c>
    </row>
    <row r="28" spans="1:11" x14ac:dyDescent="0.25">
      <c r="A28" s="16">
        <v>2</v>
      </c>
      <c r="B28" s="17">
        <v>9</v>
      </c>
      <c r="C28" s="25">
        <v>5</v>
      </c>
      <c r="D28" s="17">
        <v>7</v>
      </c>
      <c r="E28" s="16">
        <v>40</v>
      </c>
      <c r="F28" s="16"/>
      <c r="G28" s="16">
        <v>2</v>
      </c>
      <c r="H28" s="16"/>
      <c r="I28" s="16">
        <v>60</v>
      </c>
      <c r="J28" s="16"/>
      <c r="K28" s="16">
        <v>100</v>
      </c>
    </row>
    <row r="29" spans="1:11" x14ac:dyDescent="0.25">
      <c r="A29" s="16">
        <v>3</v>
      </c>
      <c r="B29" s="25">
        <v>3</v>
      </c>
      <c r="C29" s="25">
        <v>6</v>
      </c>
      <c r="D29" s="25">
        <v>9</v>
      </c>
      <c r="E29" s="3">
        <v>90</v>
      </c>
      <c r="F29" s="16"/>
      <c r="G29" s="16">
        <v>3</v>
      </c>
      <c r="H29" s="16">
        <v>90</v>
      </c>
      <c r="I29" s="16"/>
      <c r="J29" s="16"/>
      <c r="K29" s="16">
        <v>90</v>
      </c>
    </row>
    <row r="30" spans="1:11" x14ac:dyDescent="0.25">
      <c r="A30" s="16">
        <v>4</v>
      </c>
      <c r="B30" s="4">
        <v>5</v>
      </c>
      <c r="C30" s="25">
        <v>7</v>
      </c>
      <c r="D30" s="17">
        <v>6</v>
      </c>
      <c r="E30" s="16">
        <v>60</v>
      </c>
      <c r="F30" s="16"/>
      <c r="G30" s="16">
        <v>4</v>
      </c>
      <c r="H30" s="16"/>
      <c r="I30" s="16"/>
      <c r="J30" s="16"/>
      <c r="K30" s="16">
        <v>60</v>
      </c>
    </row>
    <row r="31" spans="1:11" x14ac:dyDescent="0.25">
      <c r="A31" s="16" t="s">
        <v>3</v>
      </c>
      <c r="B31" s="16">
        <v>90</v>
      </c>
      <c r="C31" s="3">
        <v>60</v>
      </c>
      <c r="D31" s="16">
        <v>10</v>
      </c>
      <c r="E31" s="16"/>
      <c r="F31" s="16"/>
      <c r="G31" s="16" t="s">
        <v>3</v>
      </c>
      <c r="H31" s="16">
        <v>180</v>
      </c>
      <c r="I31" s="16">
        <v>60</v>
      </c>
      <c r="J31" s="16">
        <v>100</v>
      </c>
      <c r="K31" s="16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x14ac:dyDescent="0.25">
      <c r="A33" s="16"/>
      <c r="B33" s="28" t="s">
        <v>1</v>
      </c>
      <c r="C33" s="28"/>
      <c r="D33" s="28"/>
      <c r="E33" s="16"/>
      <c r="F33" s="16"/>
      <c r="G33" s="16" t="s">
        <v>5</v>
      </c>
      <c r="H33" s="28" t="s">
        <v>1</v>
      </c>
      <c r="I33" s="28"/>
      <c r="J33" s="28"/>
      <c r="K33" s="16" t="s">
        <v>2</v>
      </c>
    </row>
    <row r="34" spans="1:11" x14ac:dyDescent="0.25">
      <c r="A34" s="16" t="s">
        <v>0</v>
      </c>
      <c r="B34" s="16">
        <v>1</v>
      </c>
      <c r="C34" s="16">
        <v>2</v>
      </c>
      <c r="D34" s="16">
        <v>3</v>
      </c>
      <c r="E34" s="16" t="s">
        <v>2</v>
      </c>
      <c r="F34" s="16"/>
      <c r="G34" s="16" t="s">
        <v>0</v>
      </c>
      <c r="H34" s="16">
        <v>1</v>
      </c>
      <c r="I34" s="16">
        <v>2</v>
      </c>
      <c r="J34" s="16">
        <v>3</v>
      </c>
      <c r="K34" s="16"/>
    </row>
    <row r="35" spans="1:11" x14ac:dyDescent="0.25">
      <c r="A35" s="16">
        <v>1</v>
      </c>
      <c r="B35" s="25">
        <v>10</v>
      </c>
      <c r="C35" s="25">
        <v>8</v>
      </c>
      <c r="D35" s="25">
        <v>4</v>
      </c>
      <c r="E35" s="3">
        <v>90</v>
      </c>
      <c r="F35" s="16"/>
      <c r="G35" s="16">
        <v>1</v>
      </c>
      <c r="H35" s="16"/>
      <c r="I35" s="16"/>
      <c r="J35" s="16">
        <v>90</v>
      </c>
      <c r="K35" s="16">
        <v>90</v>
      </c>
    </row>
    <row r="36" spans="1:11" x14ac:dyDescent="0.25">
      <c r="A36" s="16">
        <v>2</v>
      </c>
      <c r="B36" s="17">
        <v>9</v>
      </c>
      <c r="C36" s="25">
        <v>5</v>
      </c>
      <c r="D36" s="4">
        <v>7</v>
      </c>
      <c r="E36" s="16">
        <v>40</v>
      </c>
      <c r="F36" s="16"/>
      <c r="G36" s="16">
        <v>2</v>
      </c>
      <c r="H36" s="16"/>
      <c r="I36" s="16">
        <v>60</v>
      </c>
      <c r="J36" s="16"/>
      <c r="K36" s="16">
        <v>100</v>
      </c>
    </row>
    <row r="37" spans="1:11" x14ac:dyDescent="0.25">
      <c r="A37" s="16">
        <v>3</v>
      </c>
      <c r="B37" s="25">
        <v>3</v>
      </c>
      <c r="C37" s="25">
        <v>6</v>
      </c>
      <c r="D37" s="25">
        <v>9</v>
      </c>
      <c r="E37" s="3">
        <v>90</v>
      </c>
      <c r="F37" s="16"/>
      <c r="G37" s="16">
        <v>3</v>
      </c>
      <c r="H37" s="16">
        <v>90</v>
      </c>
      <c r="I37" s="16"/>
      <c r="J37" s="16"/>
      <c r="K37" s="16">
        <v>90</v>
      </c>
    </row>
    <row r="38" spans="1:11" x14ac:dyDescent="0.25">
      <c r="A38" s="16">
        <v>4</v>
      </c>
      <c r="B38" s="25">
        <v>5</v>
      </c>
      <c r="C38" s="25">
        <v>7</v>
      </c>
      <c r="D38" s="25">
        <v>6</v>
      </c>
      <c r="E38" s="3">
        <v>60</v>
      </c>
      <c r="F38" s="16"/>
      <c r="G38" s="16">
        <v>4</v>
      </c>
      <c r="H38" s="16">
        <v>60</v>
      </c>
      <c r="I38" s="16"/>
      <c r="J38" s="16"/>
      <c r="K38" s="16">
        <v>60</v>
      </c>
    </row>
    <row r="39" spans="1:11" x14ac:dyDescent="0.25">
      <c r="A39" s="16" t="s">
        <v>3</v>
      </c>
      <c r="B39" s="16">
        <v>30</v>
      </c>
      <c r="C39" s="3">
        <v>60</v>
      </c>
      <c r="D39" s="16">
        <v>10</v>
      </c>
      <c r="E39" s="16"/>
      <c r="F39" s="16"/>
      <c r="G39" s="16" t="s">
        <v>3</v>
      </c>
      <c r="H39" s="16">
        <v>180</v>
      </c>
      <c r="I39" s="16">
        <v>60</v>
      </c>
      <c r="J39" s="16">
        <v>100</v>
      </c>
      <c r="K39" s="16"/>
    </row>
    <row r="40" spans="1:1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x14ac:dyDescent="0.25">
      <c r="A41" s="16"/>
      <c r="B41" s="28" t="s">
        <v>1</v>
      </c>
      <c r="C41" s="28"/>
      <c r="D41" s="28"/>
      <c r="E41" s="16"/>
      <c r="F41" s="16"/>
      <c r="G41" s="16" t="s">
        <v>5</v>
      </c>
      <c r="H41" s="28" t="s">
        <v>1</v>
      </c>
      <c r="I41" s="28"/>
      <c r="J41" s="28"/>
      <c r="K41" s="16" t="s">
        <v>2</v>
      </c>
    </row>
    <row r="42" spans="1:11" x14ac:dyDescent="0.25">
      <c r="A42" s="16" t="s">
        <v>0</v>
      </c>
      <c r="B42" s="16">
        <v>1</v>
      </c>
      <c r="C42" s="16">
        <v>2</v>
      </c>
      <c r="D42" s="16">
        <v>3</v>
      </c>
      <c r="E42" s="16" t="s">
        <v>2</v>
      </c>
      <c r="F42" s="16"/>
      <c r="G42" s="16" t="s">
        <v>0</v>
      </c>
      <c r="H42" s="16">
        <v>1</v>
      </c>
      <c r="I42" s="16">
        <v>2</v>
      </c>
      <c r="J42" s="16">
        <v>3</v>
      </c>
      <c r="K42" s="16"/>
    </row>
    <row r="43" spans="1:11" x14ac:dyDescent="0.25">
      <c r="A43" s="16">
        <v>1</v>
      </c>
      <c r="B43" s="25">
        <v>10</v>
      </c>
      <c r="C43" s="25">
        <v>8</v>
      </c>
      <c r="D43" s="25">
        <v>4</v>
      </c>
      <c r="E43" s="3">
        <v>90</v>
      </c>
      <c r="F43" s="16"/>
      <c r="G43" s="16">
        <v>1</v>
      </c>
      <c r="H43" s="16"/>
      <c r="I43" s="16"/>
      <c r="J43" s="16">
        <v>90</v>
      </c>
      <c r="K43" s="16">
        <v>90</v>
      </c>
    </row>
    <row r="44" spans="1:11" x14ac:dyDescent="0.25">
      <c r="A44" s="16">
        <v>2</v>
      </c>
      <c r="B44" s="17">
        <v>9</v>
      </c>
      <c r="C44" s="25">
        <v>5</v>
      </c>
      <c r="D44" s="25">
        <v>7</v>
      </c>
      <c r="E44" s="16">
        <v>30</v>
      </c>
      <c r="F44" s="16"/>
      <c r="G44" s="16">
        <v>2</v>
      </c>
      <c r="H44" s="16"/>
      <c r="I44" s="16">
        <v>60</v>
      </c>
      <c r="J44" s="16">
        <v>10</v>
      </c>
      <c r="K44" s="16">
        <v>100</v>
      </c>
    </row>
    <row r="45" spans="1:11" x14ac:dyDescent="0.25">
      <c r="A45" s="16">
        <v>3</v>
      </c>
      <c r="B45" s="25">
        <v>3</v>
      </c>
      <c r="C45" s="25">
        <v>6</v>
      </c>
      <c r="D45" s="25">
        <v>9</v>
      </c>
      <c r="E45" s="3">
        <v>90</v>
      </c>
      <c r="F45" s="16"/>
      <c r="G45" s="16">
        <v>3</v>
      </c>
      <c r="H45" s="16">
        <v>90</v>
      </c>
      <c r="I45" s="16"/>
      <c r="J45" s="16"/>
      <c r="K45" s="16">
        <v>90</v>
      </c>
    </row>
    <row r="46" spans="1:11" x14ac:dyDescent="0.25">
      <c r="A46" s="16">
        <v>4</v>
      </c>
      <c r="B46" s="25">
        <v>5</v>
      </c>
      <c r="C46" s="25">
        <v>7</v>
      </c>
      <c r="D46" s="25">
        <v>6</v>
      </c>
      <c r="E46" s="3">
        <v>60</v>
      </c>
      <c r="F46" s="16"/>
      <c r="G46" s="16">
        <v>4</v>
      </c>
      <c r="H46" s="16">
        <v>60</v>
      </c>
      <c r="I46" s="16"/>
      <c r="J46" s="16"/>
      <c r="K46" s="16">
        <v>60</v>
      </c>
    </row>
    <row r="47" spans="1:11" x14ac:dyDescent="0.25">
      <c r="A47" s="16" t="s">
        <v>3</v>
      </c>
      <c r="B47" s="16">
        <v>30</v>
      </c>
      <c r="C47" s="3">
        <v>60</v>
      </c>
      <c r="D47" s="3">
        <v>10</v>
      </c>
      <c r="E47" s="16"/>
      <c r="F47" s="16"/>
      <c r="G47" s="16" t="s">
        <v>3</v>
      </c>
      <c r="H47" s="16">
        <v>180</v>
      </c>
      <c r="I47" s="16">
        <v>60</v>
      </c>
      <c r="J47" s="16">
        <v>100</v>
      </c>
      <c r="K47" s="16"/>
    </row>
    <row r="49" spans="1:11" x14ac:dyDescent="0.25">
      <c r="A49" s="16"/>
      <c r="B49" s="28" t="s">
        <v>1</v>
      </c>
      <c r="C49" s="28"/>
      <c r="D49" s="28"/>
      <c r="E49" s="16"/>
      <c r="F49" s="16"/>
      <c r="G49" s="16" t="s">
        <v>5</v>
      </c>
      <c r="H49" s="28" t="s">
        <v>1</v>
      </c>
      <c r="I49" s="28"/>
      <c r="J49" s="28"/>
      <c r="K49" s="16" t="s">
        <v>2</v>
      </c>
    </row>
    <row r="50" spans="1:11" x14ac:dyDescent="0.25">
      <c r="A50" s="16" t="s">
        <v>0</v>
      </c>
      <c r="B50" s="16">
        <v>1</v>
      </c>
      <c r="C50" s="16">
        <v>2</v>
      </c>
      <c r="D50" s="16">
        <v>3</v>
      </c>
      <c r="E50" s="16" t="s">
        <v>2</v>
      </c>
      <c r="F50" s="16"/>
      <c r="G50" s="16" t="s">
        <v>0</v>
      </c>
      <c r="H50" s="16">
        <v>1</v>
      </c>
      <c r="I50" s="16">
        <v>2</v>
      </c>
      <c r="J50" s="16">
        <v>3</v>
      </c>
      <c r="K50" s="16"/>
    </row>
    <row r="51" spans="1:11" x14ac:dyDescent="0.25">
      <c r="A51" s="16">
        <v>1</v>
      </c>
      <c r="B51" s="25">
        <v>10</v>
      </c>
      <c r="C51" s="25">
        <v>8</v>
      </c>
      <c r="D51" s="25">
        <v>4</v>
      </c>
      <c r="E51" s="3">
        <v>90</v>
      </c>
      <c r="F51" s="16"/>
      <c r="G51" s="16">
        <v>1</v>
      </c>
      <c r="H51" s="16"/>
      <c r="I51" s="16"/>
      <c r="J51" s="16">
        <v>90</v>
      </c>
      <c r="K51" s="16">
        <v>90</v>
      </c>
    </row>
    <row r="52" spans="1:11" x14ac:dyDescent="0.25">
      <c r="A52" s="16">
        <v>2</v>
      </c>
      <c r="B52" s="17">
        <v>9</v>
      </c>
      <c r="C52" s="25">
        <v>5</v>
      </c>
      <c r="D52" s="25">
        <v>7</v>
      </c>
      <c r="E52" s="16">
        <v>30</v>
      </c>
      <c r="F52" s="16"/>
      <c r="G52" s="16">
        <v>2</v>
      </c>
      <c r="H52" s="16">
        <v>30</v>
      </c>
      <c r="I52" s="16">
        <v>60</v>
      </c>
      <c r="J52" s="16">
        <v>10</v>
      </c>
      <c r="K52" s="16">
        <v>100</v>
      </c>
    </row>
    <row r="53" spans="1:11" x14ac:dyDescent="0.25">
      <c r="A53" s="16">
        <v>3</v>
      </c>
      <c r="B53" s="25">
        <v>3</v>
      </c>
      <c r="C53" s="25">
        <v>6</v>
      </c>
      <c r="D53" s="25">
        <v>9</v>
      </c>
      <c r="E53" s="3">
        <v>90</v>
      </c>
      <c r="F53" s="16"/>
      <c r="G53" s="16">
        <v>3</v>
      </c>
      <c r="H53" s="16">
        <v>90</v>
      </c>
      <c r="I53" s="16"/>
      <c r="J53" s="16"/>
      <c r="K53" s="16">
        <v>90</v>
      </c>
    </row>
    <row r="54" spans="1:11" x14ac:dyDescent="0.25">
      <c r="A54" s="16">
        <v>4</v>
      </c>
      <c r="B54" s="25">
        <v>5</v>
      </c>
      <c r="C54" s="25">
        <v>7</v>
      </c>
      <c r="D54" s="25">
        <v>6</v>
      </c>
      <c r="E54" s="3">
        <v>60</v>
      </c>
      <c r="F54" s="16"/>
      <c r="G54" s="16">
        <v>4</v>
      </c>
      <c r="H54" s="16">
        <v>60</v>
      </c>
      <c r="I54" s="16"/>
      <c r="J54" s="16"/>
      <c r="K54" s="16">
        <v>60</v>
      </c>
    </row>
    <row r="55" spans="1:11" x14ac:dyDescent="0.25">
      <c r="A55" s="16" t="s">
        <v>3</v>
      </c>
      <c r="B55" s="16">
        <v>30</v>
      </c>
      <c r="C55" s="3">
        <v>60</v>
      </c>
      <c r="D55" s="3">
        <v>10</v>
      </c>
      <c r="E55" s="16"/>
      <c r="F55" s="16"/>
      <c r="G55" s="16" t="s">
        <v>3</v>
      </c>
      <c r="H55" s="16">
        <v>180</v>
      </c>
      <c r="I55" s="16">
        <v>60</v>
      </c>
      <c r="J55" s="16">
        <v>100</v>
      </c>
      <c r="K55" s="16"/>
    </row>
    <row r="56" spans="1:11" x14ac:dyDescent="0.25">
      <c r="C56" s="16"/>
      <c r="D56" s="17"/>
      <c r="E56" s="17"/>
      <c r="F56" s="17"/>
    </row>
    <row r="57" spans="1:11" x14ac:dyDescent="0.25">
      <c r="C57" s="16"/>
      <c r="D57" s="16"/>
      <c r="E57" s="16"/>
      <c r="F57" s="16" t="s">
        <v>8</v>
      </c>
      <c r="G57">
        <f>+SUMPRODUCT(B3:D6,H51:J54)</f>
        <v>1570</v>
      </c>
    </row>
  </sheetData>
  <mergeCells count="13">
    <mergeCell ref="B25:D25"/>
    <mergeCell ref="H25:J25"/>
    <mergeCell ref="B1:D1"/>
    <mergeCell ref="B9:D9"/>
    <mergeCell ref="H9:J9"/>
    <mergeCell ref="B17:D17"/>
    <mergeCell ref="H17:J17"/>
    <mergeCell ref="B33:D33"/>
    <mergeCell ref="H33:J33"/>
    <mergeCell ref="B41:D41"/>
    <mergeCell ref="H41:J41"/>
    <mergeCell ref="B49:D49"/>
    <mergeCell ref="H49:J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9F42-F7AA-452A-9044-F1B91D04304F}">
  <dimension ref="A1:K46"/>
  <sheetViews>
    <sheetView topLeftCell="A34" zoomScale="200" zoomScaleNormal="200" workbookViewId="0">
      <selection activeCell="F46" sqref="F46"/>
    </sheetView>
  </sheetViews>
  <sheetFormatPr baseColWidth="10" defaultRowHeight="15" x14ac:dyDescent="0.25"/>
  <sheetData>
    <row r="1" spans="1:11" x14ac:dyDescent="0.25">
      <c r="A1" s="16"/>
      <c r="B1" s="28" t="s">
        <v>1</v>
      </c>
      <c r="C1" s="28"/>
      <c r="D1" s="28"/>
      <c r="E1" s="16"/>
    </row>
    <row r="2" spans="1:11" x14ac:dyDescent="0.25">
      <c r="A2" s="16" t="s">
        <v>0</v>
      </c>
      <c r="B2" s="16">
        <v>1</v>
      </c>
      <c r="C2" s="16">
        <v>2</v>
      </c>
      <c r="D2" s="16">
        <v>3</v>
      </c>
      <c r="E2" s="16" t="s">
        <v>2</v>
      </c>
    </row>
    <row r="3" spans="1:11" x14ac:dyDescent="0.25">
      <c r="A3" s="16">
        <v>1</v>
      </c>
      <c r="B3" s="17">
        <v>19</v>
      </c>
      <c r="C3" s="17">
        <v>16</v>
      </c>
      <c r="D3" s="17">
        <v>11</v>
      </c>
      <c r="E3" s="18">
        <v>130</v>
      </c>
    </row>
    <row r="4" spans="1:11" x14ac:dyDescent="0.25">
      <c r="A4" s="16">
        <v>2</v>
      </c>
      <c r="B4" s="17">
        <v>11</v>
      </c>
      <c r="C4" s="17">
        <v>8</v>
      </c>
      <c r="D4" s="17">
        <v>6</v>
      </c>
      <c r="E4" s="18">
        <v>60</v>
      </c>
    </row>
    <row r="5" spans="1:11" x14ac:dyDescent="0.25">
      <c r="A5" s="16">
        <v>3</v>
      </c>
      <c r="B5" s="17">
        <v>13</v>
      </c>
      <c r="C5" s="17">
        <v>9</v>
      </c>
      <c r="D5" s="17">
        <v>18</v>
      </c>
      <c r="E5" s="18">
        <v>28</v>
      </c>
    </row>
    <row r="6" spans="1:11" x14ac:dyDescent="0.25">
      <c r="A6" s="16">
        <v>4</v>
      </c>
      <c r="B6" s="17">
        <v>17</v>
      </c>
      <c r="C6" s="4">
        <v>5</v>
      </c>
      <c r="D6" s="17">
        <v>15</v>
      </c>
      <c r="E6" s="18">
        <v>93</v>
      </c>
    </row>
    <row r="7" spans="1:11" x14ac:dyDescent="0.25">
      <c r="A7" s="16" t="s">
        <v>7</v>
      </c>
      <c r="B7" s="17">
        <v>50</v>
      </c>
      <c r="C7" s="17">
        <v>50</v>
      </c>
      <c r="D7" s="17">
        <v>50</v>
      </c>
      <c r="E7" s="18">
        <v>9</v>
      </c>
    </row>
    <row r="8" spans="1:11" x14ac:dyDescent="0.25">
      <c r="A8" s="16" t="s">
        <v>3</v>
      </c>
      <c r="B8" s="16">
        <v>90</v>
      </c>
      <c r="C8" s="16">
        <v>80</v>
      </c>
      <c r="D8" s="16">
        <v>150</v>
      </c>
    </row>
    <row r="9" spans="1:11" x14ac:dyDescent="0.25">
      <c r="C9" s="16"/>
    </row>
    <row r="10" spans="1:11" x14ac:dyDescent="0.25">
      <c r="A10" s="16"/>
      <c r="B10" s="28" t="s">
        <v>1</v>
      </c>
      <c r="C10" s="28"/>
      <c r="D10" s="28"/>
      <c r="E10" s="16"/>
      <c r="G10" s="16"/>
      <c r="H10" s="28" t="s">
        <v>1</v>
      </c>
      <c r="I10" s="28"/>
      <c r="J10" s="28"/>
      <c r="K10" s="16"/>
    </row>
    <row r="11" spans="1:11" x14ac:dyDescent="0.25">
      <c r="A11" s="16" t="s">
        <v>0</v>
      </c>
      <c r="B11" s="16">
        <v>1</v>
      </c>
      <c r="C11" s="3">
        <v>2</v>
      </c>
      <c r="D11" s="16">
        <v>3</v>
      </c>
      <c r="E11" s="16" t="s">
        <v>2</v>
      </c>
      <c r="G11" s="16" t="s">
        <v>0</v>
      </c>
      <c r="H11" s="16">
        <v>1</v>
      </c>
      <c r="I11" s="16">
        <v>2</v>
      </c>
      <c r="J11" s="16">
        <v>3</v>
      </c>
      <c r="K11" s="16" t="s">
        <v>2</v>
      </c>
    </row>
    <row r="12" spans="1:11" x14ac:dyDescent="0.25">
      <c r="A12" s="16">
        <v>1</v>
      </c>
      <c r="B12" s="17">
        <v>19</v>
      </c>
      <c r="C12" s="25">
        <v>16</v>
      </c>
      <c r="D12" s="17">
        <v>11</v>
      </c>
      <c r="E12" s="18">
        <v>130</v>
      </c>
      <c r="G12" s="16">
        <v>1</v>
      </c>
      <c r="H12" s="18"/>
      <c r="I12" s="18"/>
      <c r="J12" s="18"/>
      <c r="K12" s="18">
        <v>130</v>
      </c>
    </row>
    <row r="13" spans="1:11" x14ac:dyDescent="0.25">
      <c r="A13" s="16">
        <v>2</v>
      </c>
      <c r="B13" s="17">
        <v>11</v>
      </c>
      <c r="C13" s="25">
        <v>8</v>
      </c>
      <c r="D13" s="4">
        <v>6</v>
      </c>
      <c r="E13" s="18">
        <v>60</v>
      </c>
      <c r="G13" s="16">
        <v>2</v>
      </c>
      <c r="H13" s="18"/>
      <c r="I13" s="18"/>
      <c r="J13" s="18"/>
      <c r="K13" s="18">
        <v>60</v>
      </c>
    </row>
    <row r="14" spans="1:11" x14ac:dyDescent="0.25">
      <c r="A14" s="16">
        <v>3</v>
      </c>
      <c r="B14" s="17">
        <v>13</v>
      </c>
      <c r="C14" s="25">
        <v>9</v>
      </c>
      <c r="D14" s="17">
        <v>18</v>
      </c>
      <c r="E14" s="18">
        <v>28</v>
      </c>
      <c r="G14" s="16">
        <v>3</v>
      </c>
      <c r="H14" s="18"/>
      <c r="I14" s="18"/>
      <c r="J14" s="18"/>
      <c r="K14" s="18">
        <v>28</v>
      </c>
    </row>
    <row r="15" spans="1:11" x14ac:dyDescent="0.25">
      <c r="A15" s="16">
        <v>4</v>
      </c>
      <c r="B15" s="17">
        <v>17</v>
      </c>
      <c r="C15" s="25">
        <v>5</v>
      </c>
      <c r="D15" s="17">
        <v>15</v>
      </c>
      <c r="E15" s="18">
        <v>13</v>
      </c>
      <c r="G15" s="16">
        <v>4</v>
      </c>
      <c r="H15" s="18"/>
      <c r="I15" s="18">
        <v>80</v>
      </c>
      <c r="J15" s="18"/>
      <c r="K15" s="18">
        <v>93</v>
      </c>
    </row>
    <row r="16" spans="1:11" x14ac:dyDescent="0.25">
      <c r="A16" s="16" t="s">
        <v>7</v>
      </c>
      <c r="B16" s="17">
        <v>50</v>
      </c>
      <c r="C16" s="25">
        <v>50</v>
      </c>
      <c r="D16" s="17">
        <v>50</v>
      </c>
      <c r="E16" s="18">
        <v>9</v>
      </c>
      <c r="G16" s="16" t="s">
        <v>7</v>
      </c>
      <c r="H16" s="18"/>
      <c r="I16" s="18"/>
      <c r="J16" s="18"/>
      <c r="K16" s="18">
        <v>9</v>
      </c>
    </row>
    <row r="17" spans="1:11" x14ac:dyDescent="0.25">
      <c r="A17" s="16" t="s">
        <v>3</v>
      </c>
      <c r="B17" s="16">
        <v>90</v>
      </c>
      <c r="C17" s="3">
        <v>80</v>
      </c>
      <c r="D17" s="16">
        <v>150</v>
      </c>
      <c r="G17" s="16" t="s">
        <v>3</v>
      </c>
      <c r="H17" s="16">
        <v>90</v>
      </c>
      <c r="I17" s="16">
        <v>80</v>
      </c>
      <c r="J17" s="16">
        <v>150</v>
      </c>
    </row>
    <row r="19" spans="1:11" x14ac:dyDescent="0.25">
      <c r="A19" s="16"/>
      <c r="B19" s="28" t="s">
        <v>1</v>
      </c>
      <c r="C19" s="28"/>
      <c r="D19" s="28"/>
      <c r="E19" s="16"/>
      <c r="G19" s="16"/>
      <c r="H19" s="28" t="s">
        <v>1</v>
      </c>
      <c r="I19" s="28"/>
      <c r="J19" s="28"/>
      <c r="K19" s="16"/>
    </row>
    <row r="20" spans="1:11" x14ac:dyDescent="0.25">
      <c r="A20" s="16" t="s">
        <v>0</v>
      </c>
      <c r="B20" s="16">
        <v>1</v>
      </c>
      <c r="C20" s="3">
        <v>2</v>
      </c>
      <c r="D20" s="16">
        <v>3</v>
      </c>
      <c r="E20" s="16" t="s">
        <v>2</v>
      </c>
      <c r="G20" s="16" t="s">
        <v>0</v>
      </c>
      <c r="H20" s="16">
        <v>1</v>
      </c>
      <c r="I20" s="16">
        <v>2</v>
      </c>
      <c r="J20" s="16">
        <v>3</v>
      </c>
      <c r="K20" s="16" t="s">
        <v>2</v>
      </c>
    </row>
    <row r="21" spans="1:11" x14ac:dyDescent="0.25">
      <c r="A21" s="16">
        <v>1</v>
      </c>
      <c r="B21" s="17">
        <v>19</v>
      </c>
      <c r="C21" s="25">
        <v>16</v>
      </c>
      <c r="D21" s="4">
        <v>11</v>
      </c>
      <c r="E21" s="18">
        <v>130</v>
      </c>
      <c r="G21" s="16">
        <v>1</v>
      </c>
      <c r="H21" s="18"/>
      <c r="I21" s="18"/>
      <c r="J21" s="18"/>
      <c r="K21" s="18">
        <v>130</v>
      </c>
    </row>
    <row r="22" spans="1:11" x14ac:dyDescent="0.25">
      <c r="A22" s="3">
        <v>2</v>
      </c>
      <c r="B22" s="25">
        <v>11</v>
      </c>
      <c r="C22" s="25">
        <v>8</v>
      </c>
      <c r="D22" s="25">
        <v>6</v>
      </c>
      <c r="E22" s="26">
        <v>60</v>
      </c>
      <c r="G22" s="16">
        <v>2</v>
      </c>
      <c r="H22" s="18"/>
      <c r="I22" s="18"/>
      <c r="J22" s="18">
        <v>60</v>
      </c>
      <c r="K22" s="18">
        <v>60</v>
      </c>
    </row>
    <row r="23" spans="1:11" x14ac:dyDescent="0.25">
      <c r="A23" s="16">
        <v>3</v>
      </c>
      <c r="B23" s="17">
        <v>13</v>
      </c>
      <c r="C23" s="25">
        <v>9</v>
      </c>
      <c r="D23" s="17">
        <v>18</v>
      </c>
      <c r="E23" s="18">
        <v>28</v>
      </c>
      <c r="G23" s="16">
        <v>3</v>
      </c>
      <c r="H23" s="18"/>
      <c r="I23" s="18"/>
      <c r="J23" s="18"/>
      <c r="K23" s="18">
        <v>28</v>
      </c>
    </row>
    <row r="24" spans="1:11" x14ac:dyDescent="0.25">
      <c r="A24" s="16">
        <v>4</v>
      </c>
      <c r="B24" s="17">
        <v>17</v>
      </c>
      <c r="C24" s="25">
        <v>5</v>
      </c>
      <c r="D24" s="17">
        <v>15</v>
      </c>
      <c r="E24" s="18">
        <v>13</v>
      </c>
      <c r="G24" s="16">
        <v>4</v>
      </c>
      <c r="H24" s="18"/>
      <c r="I24" s="18">
        <v>80</v>
      </c>
      <c r="J24" s="18"/>
      <c r="K24" s="18">
        <v>93</v>
      </c>
    </row>
    <row r="25" spans="1:11" x14ac:dyDescent="0.25">
      <c r="A25" s="16" t="s">
        <v>7</v>
      </c>
      <c r="B25" s="17">
        <v>50</v>
      </c>
      <c r="C25" s="25">
        <v>50</v>
      </c>
      <c r="D25" s="17">
        <v>50</v>
      </c>
      <c r="E25" s="18">
        <v>9</v>
      </c>
      <c r="G25" s="16" t="s">
        <v>7</v>
      </c>
      <c r="H25" s="18"/>
      <c r="I25" s="18"/>
      <c r="J25" s="18"/>
      <c r="K25" s="18">
        <v>9</v>
      </c>
    </row>
    <row r="26" spans="1:11" x14ac:dyDescent="0.25">
      <c r="A26" s="16" t="s">
        <v>3</v>
      </c>
      <c r="B26" s="16">
        <v>90</v>
      </c>
      <c r="C26" s="3">
        <v>80</v>
      </c>
      <c r="D26" s="16">
        <v>90</v>
      </c>
      <c r="G26" s="16" t="s">
        <v>3</v>
      </c>
      <c r="H26" s="16">
        <v>90</v>
      </c>
      <c r="I26" s="16">
        <v>80</v>
      </c>
      <c r="J26" s="16">
        <v>150</v>
      </c>
    </row>
    <row r="28" spans="1:11" x14ac:dyDescent="0.25">
      <c r="A28" s="16"/>
      <c r="B28" s="28" t="s">
        <v>1</v>
      </c>
      <c r="C28" s="28"/>
      <c r="D28" s="28"/>
      <c r="E28" s="16"/>
      <c r="G28" s="16"/>
      <c r="H28" s="28" t="s">
        <v>1</v>
      </c>
      <c r="I28" s="28"/>
      <c r="J28" s="28"/>
      <c r="K28" s="16"/>
    </row>
    <row r="29" spans="1:11" x14ac:dyDescent="0.25">
      <c r="A29" s="16" t="s">
        <v>0</v>
      </c>
      <c r="B29" s="16">
        <v>1</v>
      </c>
      <c r="C29" s="3">
        <v>2</v>
      </c>
      <c r="D29" s="5">
        <v>3</v>
      </c>
      <c r="E29" s="16" t="s">
        <v>2</v>
      </c>
      <c r="G29" s="16" t="s">
        <v>0</v>
      </c>
      <c r="H29" s="16">
        <v>1</v>
      </c>
      <c r="I29" s="16">
        <v>2</v>
      </c>
      <c r="J29" s="16">
        <v>3</v>
      </c>
      <c r="K29" s="16" t="s">
        <v>2</v>
      </c>
    </row>
    <row r="30" spans="1:11" x14ac:dyDescent="0.25">
      <c r="A30" s="16">
        <v>1</v>
      </c>
      <c r="B30" s="17">
        <v>19</v>
      </c>
      <c r="C30" s="25">
        <v>16</v>
      </c>
      <c r="D30" s="25">
        <v>11</v>
      </c>
      <c r="E30" s="18">
        <v>40</v>
      </c>
      <c r="G30" s="16">
        <v>1</v>
      </c>
      <c r="H30" s="18"/>
      <c r="I30" s="18"/>
      <c r="J30" s="18">
        <v>90</v>
      </c>
      <c r="K30" s="18">
        <v>130</v>
      </c>
    </row>
    <row r="31" spans="1:11" x14ac:dyDescent="0.25">
      <c r="A31" s="3">
        <v>2</v>
      </c>
      <c r="B31" s="25">
        <v>11</v>
      </c>
      <c r="C31" s="25">
        <v>8</v>
      </c>
      <c r="D31" s="25">
        <v>6</v>
      </c>
      <c r="E31" s="26">
        <v>60</v>
      </c>
      <c r="G31" s="16">
        <v>2</v>
      </c>
      <c r="H31" s="18"/>
      <c r="I31" s="18"/>
      <c r="J31" s="18">
        <v>60</v>
      </c>
      <c r="K31" s="18">
        <v>60</v>
      </c>
    </row>
    <row r="32" spans="1:11" x14ac:dyDescent="0.25">
      <c r="A32" s="16">
        <v>3</v>
      </c>
      <c r="B32" s="17">
        <v>13</v>
      </c>
      <c r="C32" s="25">
        <v>9</v>
      </c>
      <c r="D32" s="25">
        <v>18</v>
      </c>
      <c r="E32" s="18">
        <v>28</v>
      </c>
      <c r="G32" s="16">
        <v>3</v>
      </c>
      <c r="H32" s="18"/>
      <c r="I32" s="18"/>
      <c r="J32" s="18"/>
      <c r="K32" s="18">
        <v>28</v>
      </c>
    </row>
    <row r="33" spans="1:11" x14ac:dyDescent="0.25">
      <c r="A33" s="16">
        <v>4</v>
      </c>
      <c r="B33" s="17">
        <v>17</v>
      </c>
      <c r="C33" s="25">
        <v>5</v>
      </c>
      <c r="D33" s="25">
        <v>15</v>
      </c>
      <c r="E33" s="18">
        <v>13</v>
      </c>
      <c r="G33" s="16">
        <v>4</v>
      </c>
      <c r="H33" s="18"/>
      <c r="I33" s="18">
        <v>80</v>
      </c>
      <c r="J33" s="18"/>
      <c r="K33" s="18">
        <v>93</v>
      </c>
    </row>
    <row r="34" spans="1:11" x14ac:dyDescent="0.25">
      <c r="A34" s="16" t="s">
        <v>7</v>
      </c>
      <c r="B34" s="17">
        <v>50</v>
      </c>
      <c r="C34" s="25">
        <v>50</v>
      </c>
      <c r="D34" s="25">
        <v>50</v>
      </c>
      <c r="E34" s="18">
        <v>9</v>
      </c>
      <c r="G34" s="16" t="s">
        <v>7</v>
      </c>
      <c r="H34" s="18"/>
      <c r="I34" s="18"/>
      <c r="J34" s="18"/>
      <c r="K34" s="18">
        <v>9</v>
      </c>
    </row>
    <row r="35" spans="1:11" x14ac:dyDescent="0.25">
      <c r="A35" s="16" t="s">
        <v>3</v>
      </c>
      <c r="B35" s="16">
        <v>90</v>
      </c>
      <c r="C35" s="3">
        <v>80</v>
      </c>
      <c r="D35" s="5">
        <v>90</v>
      </c>
      <c r="G35" s="16" t="s">
        <v>3</v>
      </c>
      <c r="H35" s="16">
        <v>90</v>
      </c>
      <c r="I35" s="16">
        <v>80</v>
      </c>
      <c r="J35" s="16">
        <v>150</v>
      </c>
    </row>
    <row r="37" spans="1:11" x14ac:dyDescent="0.25">
      <c r="A37" s="16"/>
      <c r="B37" s="28" t="s">
        <v>1</v>
      </c>
      <c r="C37" s="28"/>
      <c r="D37" s="28"/>
      <c r="E37" s="16"/>
      <c r="G37" s="16"/>
      <c r="H37" s="28" t="s">
        <v>1</v>
      </c>
      <c r="I37" s="28"/>
      <c r="J37" s="28"/>
      <c r="K37" s="16"/>
    </row>
    <row r="38" spans="1:11" x14ac:dyDescent="0.25">
      <c r="A38" s="16" t="s">
        <v>0</v>
      </c>
      <c r="B38" s="16">
        <v>1</v>
      </c>
      <c r="C38" s="3">
        <v>2</v>
      </c>
      <c r="D38" s="5">
        <v>3</v>
      </c>
      <c r="E38" s="16" t="s">
        <v>2</v>
      </c>
      <c r="G38" s="16" t="s">
        <v>0</v>
      </c>
      <c r="H38" s="16">
        <v>1</v>
      </c>
      <c r="I38" s="16">
        <v>2</v>
      </c>
      <c r="J38" s="16">
        <v>3</v>
      </c>
      <c r="K38" s="16" t="s">
        <v>2</v>
      </c>
    </row>
    <row r="39" spans="1:11" x14ac:dyDescent="0.25">
      <c r="A39" s="16">
        <v>1</v>
      </c>
      <c r="B39" s="17">
        <v>19</v>
      </c>
      <c r="C39" s="25">
        <v>16</v>
      </c>
      <c r="D39" s="25">
        <v>11</v>
      </c>
      <c r="E39" s="18">
        <v>40</v>
      </c>
      <c r="G39" s="16">
        <v>1</v>
      </c>
      <c r="H39" s="18">
        <v>40</v>
      </c>
      <c r="I39" s="18"/>
      <c r="J39" s="18">
        <v>90</v>
      </c>
      <c r="K39" s="18">
        <v>130</v>
      </c>
    </row>
    <row r="40" spans="1:11" x14ac:dyDescent="0.25">
      <c r="A40" s="3">
        <v>2</v>
      </c>
      <c r="B40" s="25">
        <v>11</v>
      </c>
      <c r="C40" s="25">
        <v>8</v>
      </c>
      <c r="D40" s="25">
        <v>6</v>
      </c>
      <c r="E40" s="26">
        <v>60</v>
      </c>
      <c r="G40" s="16">
        <v>2</v>
      </c>
      <c r="H40" s="18"/>
      <c r="I40" s="18"/>
      <c r="J40" s="18">
        <v>60</v>
      </c>
      <c r="K40" s="18">
        <v>60</v>
      </c>
    </row>
    <row r="41" spans="1:11" x14ac:dyDescent="0.25">
      <c r="A41" s="16">
        <v>3</v>
      </c>
      <c r="B41" s="17">
        <v>13</v>
      </c>
      <c r="C41" s="25">
        <v>9</v>
      </c>
      <c r="D41" s="25">
        <v>18</v>
      </c>
      <c r="E41" s="18">
        <v>28</v>
      </c>
      <c r="G41" s="16">
        <v>3</v>
      </c>
      <c r="H41" s="18">
        <v>28</v>
      </c>
      <c r="I41" s="18"/>
      <c r="J41" s="18"/>
      <c r="K41" s="18">
        <v>28</v>
      </c>
    </row>
    <row r="42" spans="1:11" x14ac:dyDescent="0.25">
      <c r="A42" s="16">
        <v>4</v>
      </c>
      <c r="B42" s="17">
        <v>17</v>
      </c>
      <c r="C42" s="25">
        <v>5</v>
      </c>
      <c r="D42" s="25">
        <v>15</v>
      </c>
      <c r="E42" s="18">
        <v>13</v>
      </c>
      <c r="G42" s="16">
        <v>4</v>
      </c>
      <c r="H42" s="18">
        <v>13</v>
      </c>
      <c r="I42" s="18">
        <v>80</v>
      </c>
      <c r="J42" s="18"/>
      <c r="K42" s="18">
        <v>93</v>
      </c>
    </row>
    <row r="43" spans="1:11" x14ac:dyDescent="0.25">
      <c r="A43" s="16" t="s">
        <v>7</v>
      </c>
      <c r="B43" s="17">
        <v>50</v>
      </c>
      <c r="C43" s="25">
        <v>50</v>
      </c>
      <c r="D43" s="25">
        <v>50</v>
      </c>
      <c r="E43" s="18">
        <v>9</v>
      </c>
      <c r="G43" s="16" t="s">
        <v>7</v>
      </c>
      <c r="H43" s="18">
        <v>9</v>
      </c>
      <c r="I43" s="18"/>
      <c r="J43" s="18"/>
      <c r="K43" s="18">
        <v>9</v>
      </c>
    </row>
    <row r="44" spans="1:11" x14ac:dyDescent="0.25">
      <c r="A44" s="16" t="s">
        <v>3</v>
      </c>
      <c r="B44" s="16">
        <v>90</v>
      </c>
      <c r="C44" s="3">
        <v>80</v>
      </c>
      <c r="D44" s="5">
        <v>90</v>
      </c>
      <c r="G44" s="16" t="s">
        <v>3</v>
      </c>
      <c r="H44" s="16">
        <v>90</v>
      </c>
      <c r="I44" s="16">
        <v>80</v>
      </c>
      <c r="J44" s="16">
        <v>150</v>
      </c>
    </row>
    <row r="45" spans="1:11" x14ac:dyDescent="0.25">
      <c r="H45" s="16">
        <v>81</v>
      </c>
    </row>
    <row r="46" spans="1:11" x14ac:dyDescent="0.25">
      <c r="E46" t="s">
        <v>8</v>
      </c>
      <c r="F46">
        <f>+SUMPRODUCT(H39:J42,B3:D6)</f>
        <v>3095</v>
      </c>
    </row>
  </sheetData>
  <mergeCells count="9">
    <mergeCell ref="B1:D1"/>
    <mergeCell ref="B37:D37"/>
    <mergeCell ref="H37:J37"/>
    <mergeCell ref="B10:D10"/>
    <mergeCell ref="H10:J10"/>
    <mergeCell ref="B19:D19"/>
    <mergeCell ref="H19:J19"/>
    <mergeCell ref="B28:D28"/>
    <mergeCell ref="H28:J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B04C-AD06-4B5A-842D-148FF7C520D5}">
  <dimension ref="A1:L49"/>
  <sheetViews>
    <sheetView topLeftCell="A43" zoomScale="190" zoomScaleNormal="190" workbookViewId="0">
      <selection activeCell="E48" sqref="E48:H49"/>
    </sheetView>
  </sheetViews>
  <sheetFormatPr baseColWidth="10" defaultRowHeight="15" x14ac:dyDescent="0.25"/>
  <sheetData>
    <row r="1" spans="1:12" x14ac:dyDescent="0.25">
      <c r="B1" s="27" t="s">
        <v>1</v>
      </c>
      <c r="C1" s="27"/>
      <c r="D1" s="27"/>
    </row>
    <row r="2" spans="1:12" x14ac:dyDescent="0.25">
      <c r="A2" t="s">
        <v>0</v>
      </c>
      <c r="B2">
        <v>1</v>
      </c>
      <c r="C2">
        <v>2</v>
      </c>
      <c r="D2">
        <v>3</v>
      </c>
      <c r="E2" t="s">
        <v>2</v>
      </c>
    </row>
    <row r="3" spans="1:12" x14ac:dyDescent="0.25">
      <c r="A3">
        <v>1</v>
      </c>
      <c r="B3" s="17">
        <v>10</v>
      </c>
      <c r="C3" s="17">
        <v>8</v>
      </c>
      <c r="D3" s="17">
        <v>4</v>
      </c>
      <c r="E3" s="16">
        <v>90</v>
      </c>
    </row>
    <row r="4" spans="1:12" x14ac:dyDescent="0.25">
      <c r="A4">
        <v>2</v>
      </c>
      <c r="B4" s="17">
        <v>9</v>
      </c>
      <c r="C4" s="17">
        <v>5</v>
      </c>
      <c r="D4" s="17">
        <v>7</v>
      </c>
      <c r="E4" s="16">
        <v>100</v>
      </c>
    </row>
    <row r="5" spans="1:12" x14ac:dyDescent="0.25">
      <c r="A5">
        <v>3</v>
      </c>
      <c r="B5" s="17">
        <v>3</v>
      </c>
      <c r="C5" s="17">
        <v>6</v>
      </c>
      <c r="D5" s="17">
        <v>9</v>
      </c>
      <c r="E5" s="16">
        <v>90</v>
      </c>
    </row>
    <row r="6" spans="1:12" x14ac:dyDescent="0.25">
      <c r="A6">
        <v>4</v>
      </c>
      <c r="B6" s="17">
        <v>5</v>
      </c>
      <c r="C6" s="17">
        <v>7</v>
      </c>
      <c r="D6" s="17">
        <v>6</v>
      </c>
      <c r="E6" s="16">
        <v>60</v>
      </c>
    </row>
    <row r="7" spans="1:12" x14ac:dyDescent="0.25">
      <c r="A7" t="s">
        <v>3</v>
      </c>
      <c r="B7" s="16">
        <v>180</v>
      </c>
      <c r="C7" s="16">
        <v>60</v>
      </c>
      <c r="D7" s="16">
        <v>100</v>
      </c>
      <c r="E7" s="16"/>
    </row>
    <row r="9" spans="1:12" x14ac:dyDescent="0.25">
      <c r="A9" t="s">
        <v>9</v>
      </c>
    </row>
    <row r="10" spans="1:12" x14ac:dyDescent="0.25">
      <c r="B10" s="27" t="s">
        <v>1</v>
      </c>
      <c r="C10" s="27"/>
      <c r="D10" s="27"/>
      <c r="H10" t="s">
        <v>5</v>
      </c>
      <c r="I10" s="27" t="s">
        <v>1</v>
      </c>
      <c r="J10" s="27"/>
      <c r="K10" s="27"/>
    </row>
    <row r="11" spans="1:12" x14ac:dyDescent="0.25">
      <c r="A11" t="s">
        <v>0</v>
      </c>
      <c r="B11">
        <v>1</v>
      </c>
      <c r="C11">
        <v>2</v>
      </c>
      <c r="D11">
        <v>3</v>
      </c>
      <c r="E11" t="s">
        <v>2</v>
      </c>
      <c r="F11" s="9" t="s">
        <v>10</v>
      </c>
      <c r="H11" t="s">
        <v>0</v>
      </c>
      <c r="I11">
        <v>1</v>
      </c>
      <c r="J11">
        <v>2</v>
      </c>
      <c r="K11">
        <v>3</v>
      </c>
      <c r="L11" t="s">
        <v>2</v>
      </c>
    </row>
    <row r="12" spans="1:12" x14ac:dyDescent="0.25">
      <c r="A12" s="2">
        <v>1</v>
      </c>
      <c r="B12" s="4">
        <v>10</v>
      </c>
      <c r="C12" s="4">
        <v>8</v>
      </c>
      <c r="D12" s="32">
        <v>4</v>
      </c>
      <c r="E12" s="2">
        <v>90</v>
      </c>
      <c r="F12" s="31">
        <f>+SMALL(B12:D12,2)-SMALL(B12:D12,1)</f>
        <v>4</v>
      </c>
      <c r="H12">
        <v>1</v>
      </c>
      <c r="K12">
        <v>90</v>
      </c>
      <c r="L12">
        <v>90</v>
      </c>
    </row>
    <row r="13" spans="1:12" x14ac:dyDescent="0.25">
      <c r="A13">
        <v>2</v>
      </c>
      <c r="B13" s="17">
        <v>9</v>
      </c>
      <c r="C13" s="17">
        <v>5</v>
      </c>
      <c r="D13" s="17">
        <v>7</v>
      </c>
      <c r="E13" s="16">
        <v>100</v>
      </c>
      <c r="F13" s="30">
        <f>+SMALL(B13:D13,2)-SMALL(B13:D13,1)</f>
        <v>2</v>
      </c>
      <c r="H13">
        <v>2</v>
      </c>
      <c r="L13">
        <v>100</v>
      </c>
    </row>
    <row r="14" spans="1:12" x14ac:dyDescent="0.25">
      <c r="A14">
        <v>3</v>
      </c>
      <c r="B14" s="17">
        <v>3</v>
      </c>
      <c r="C14" s="17">
        <v>6</v>
      </c>
      <c r="D14" s="17">
        <v>9</v>
      </c>
      <c r="E14" s="16">
        <v>90</v>
      </c>
      <c r="F14" s="30">
        <f t="shared" ref="F13:F17" si="0">+SMALL(B14:D14,2)-SMALL(B14:D14,1)</f>
        <v>3</v>
      </c>
      <c r="H14">
        <v>3</v>
      </c>
      <c r="L14">
        <v>90</v>
      </c>
    </row>
    <row r="15" spans="1:12" x14ac:dyDescent="0.25">
      <c r="A15">
        <v>4</v>
      </c>
      <c r="B15" s="17">
        <v>5</v>
      </c>
      <c r="C15" s="17">
        <v>7</v>
      </c>
      <c r="D15" s="17">
        <v>6</v>
      </c>
      <c r="E15" s="16">
        <v>60</v>
      </c>
      <c r="F15" s="30">
        <f t="shared" si="0"/>
        <v>1</v>
      </c>
      <c r="H15">
        <v>4</v>
      </c>
      <c r="L15">
        <v>60</v>
      </c>
    </row>
    <row r="16" spans="1:12" x14ac:dyDescent="0.25">
      <c r="A16" t="s">
        <v>3</v>
      </c>
      <c r="B16" s="16">
        <v>180</v>
      </c>
      <c r="C16" s="16">
        <v>60</v>
      </c>
      <c r="D16" s="16">
        <v>100</v>
      </c>
      <c r="E16" s="16"/>
      <c r="F16" s="29"/>
      <c r="H16" t="s">
        <v>3</v>
      </c>
      <c r="I16">
        <v>180</v>
      </c>
      <c r="J16">
        <v>60</v>
      </c>
      <c r="K16">
        <v>100</v>
      </c>
    </row>
    <row r="17" spans="1:12" x14ac:dyDescent="0.25">
      <c r="A17" s="9" t="s">
        <v>10</v>
      </c>
      <c r="B17" s="30">
        <f>+SMALL(B12:B15,2)-SMALL(B12:B15,1)</f>
        <v>2</v>
      </c>
      <c r="C17" s="30">
        <f t="shared" ref="C17:D17" si="1">+SMALL(C12:C15,2)-SMALL(C12:C15,1)</f>
        <v>1</v>
      </c>
      <c r="D17" s="30">
        <f t="shared" si="1"/>
        <v>2</v>
      </c>
      <c r="F17" s="29"/>
    </row>
    <row r="19" spans="1:12" x14ac:dyDescent="0.25">
      <c r="A19" t="s">
        <v>11</v>
      </c>
    </row>
    <row r="20" spans="1:12" x14ac:dyDescent="0.25">
      <c r="B20" s="27" t="s">
        <v>1</v>
      </c>
      <c r="C20" s="27"/>
      <c r="D20" s="27"/>
      <c r="H20" t="s">
        <v>5</v>
      </c>
      <c r="I20" s="27" t="s">
        <v>1</v>
      </c>
      <c r="J20" s="27"/>
      <c r="K20" s="27"/>
    </row>
    <row r="21" spans="1:12" x14ac:dyDescent="0.25">
      <c r="A21" t="s">
        <v>0</v>
      </c>
      <c r="B21">
        <v>1</v>
      </c>
      <c r="C21">
        <v>2</v>
      </c>
      <c r="D21">
        <v>3</v>
      </c>
      <c r="E21" t="s">
        <v>2</v>
      </c>
      <c r="F21" s="9" t="s">
        <v>10</v>
      </c>
      <c r="H21" t="s">
        <v>0</v>
      </c>
      <c r="I21">
        <v>1</v>
      </c>
      <c r="J21">
        <v>2</v>
      </c>
      <c r="K21">
        <v>3</v>
      </c>
      <c r="L21" t="s">
        <v>2</v>
      </c>
    </row>
    <row r="22" spans="1:12" x14ac:dyDescent="0.25">
      <c r="A22" s="3">
        <v>1</v>
      </c>
      <c r="B22" s="25">
        <v>10</v>
      </c>
      <c r="C22" s="25">
        <v>8</v>
      </c>
      <c r="D22" s="25">
        <v>4</v>
      </c>
      <c r="E22" s="3">
        <v>90</v>
      </c>
      <c r="F22" s="33">
        <f>+SMALL(B22:D22,2)-SMALL(B22:D22,1)</f>
        <v>4</v>
      </c>
      <c r="H22">
        <v>1</v>
      </c>
      <c r="K22">
        <v>90</v>
      </c>
      <c r="L22">
        <v>90</v>
      </c>
    </row>
    <row r="23" spans="1:12" x14ac:dyDescent="0.25">
      <c r="A23">
        <v>2</v>
      </c>
      <c r="B23" s="17">
        <v>9</v>
      </c>
      <c r="C23" s="17">
        <v>5</v>
      </c>
      <c r="D23" s="17">
        <v>7</v>
      </c>
      <c r="E23" s="16">
        <v>100</v>
      </c>
      <c r="F23" s="30">
        <f>+SMALL(B23:D23,2)-SMALL(B23:D23,1)</f>
        <v>2</v>
      </c>
      <c r="H23">
        <v>2</v>
      </c>
      <c r="L23">
        <v>100</v>
      </c>
    </row>
    <row r="24" spans="1:12" x14ac:dyDescent="0.25">
      <c r="A24" s="2">
        <v>3</v>
      </c>
      <c r="B24" s="32">
        <v>3</v>
      </c>
      <c r="C24" s="4">
        <v>6</v>
      </c>
      <c r="D24" s="4">
        <v>9</v>
      </c>
      <c r="E24" s="2">
        <v>90</v>
      </c>
      <c r="F24" s="31">
        <f t="shared" ref="F24:F27" si="2">+SMALL(B24:D24,2)-SMALL(B24:D24,1)</f>
        <v>3</v>
      </c>
      <c r="H24">
        <v>3</v>
      </c>
      <c r="I24">
        <v>90</v>
      </c>
      <c r="L24">
        <v>90</v>
      </c>
    </row>
    <row r="25" spans="1:12" x14ac:dyDescent="0.25">
      <c r="A25">
        <v>4</v>
      </c>
      <c r="B25" s="17">
        <v>5</v>
      </c>
      <c r="C25" s="17">
        <v>7</v>
      </c>
      <c r="D25" s="17">
        <v>6</v>
      </c>
      <c r="E25" s="16">
        <v>60</v>
      </c>
      <c r="F25" s="30">
        <f t="shared" si="2"/>
        <v>1</v>
      </c>
      <c r="H25">
        <v>4</v>
      </c>
      <c r="L25">
        <v>60</v>
      </c>
    </row>
    <row r="26" spans="1:12" x14ac:dyDescent="0.25">
      <c r="A26" t="s">
        <v>3</v>
      </c>
      <c r="B26" s="16">
        <v>180</v>
      </c>
      <c r="C26" s="16">
        <v>60</v>
      </c>
      <c r="D26" s="16">
        <v>10</v>
      </c>
      <c r="E26" s="16"/>
      <c r="F26" s="29"/>
      <c r="H26" t="s">
        <v>3</v>
      </c>
      <c r="I26">
        <v>180</v>
      </c>
      <c r="J26">
        <v>60</v>
      </c>
      <c r="K26">
        <v>100</v>
      </c>
    </row>
    <row r="27" spans="1:12" x14ac:dyDescent="0.25">
      <c r="A27" s="9" t="s">
        <v>10</v>
      </c>
      <c r="B27" s="30">
        <f>+SMALL(B23:B25,2)-SMALL(B23:B25,1)</f>
        <v>2</v>
      </c>
      <c r="C27" s="30">
        <f>+SMALL(C23:C25,2)-SMALL(C23:C25,1)</f>
        <v>1</v>
      </c>
      <c r="D27" s="30">
        <f t="shared" ref="C27:D27" si="3">+SMALL(D23:D25,2)-SMALL(D23:D25,1)</f>
        <v>1</v>
      </c>
      <c r="F27" s="29"/>
    </row>
    <row r="29" spans="1:12" x14ac:dyDescent="0.25">
      <c r="A29" t="s">
        <v>12</v>
      </c>
    </row>
    <row r="30" spans="1:12" x14ac:dyDescent="0.25">
      <c r="B30" s="27" t="s">
        <v>1</v>
      </c>
      <c r="C30" s="27"/>
      <c r="D30" s="27"/>
      <c r="H30" t="s">
        <v>5</v>
      </c>
      <c r="I30" s="27" t="s">
        <v>1</v>
      </c>
      <c r="J30" s="27"/>
      <c r="K30" s="27"/>
    </row>
    <row r="31" spans="1:12" x14ac:dyDescent="0.25">
      <c r="A31" t="s">
        <v>0</v>
      </c>
      <c r="B31">
        <v>1</v>
      </c>
      <c r="C31">
        <v>2</v>
      </c>
      <c r="D31">
        <v>3</v>
      </c>
      <c r="E31" t="s">
        <v>2</v>
      </c>
      <c r="F31" s="9" t="s">
        <v>10</v>
      </c>
      <c r="H31" t="s">
        <v>0</v>
      </c>
      <c r="I31">
        <v>1</v>
      </c>
      <c r="J31">
        <v>2</v>
      </c>
      <c r="K31">
        <v>3</v>
      </c>
      <c r="L31" t="s">
        <v>2</v>
      </c>
    </row>
    <row r="32" spans="1:12" x14ac:dyDescent="0.25">
      <c r="A32" s="3">
        <v>1</v>
      </c>
      <c r="B32" s="25">
        <v>10</v>
      </c>
      <c r="C32" s="25">
        <v>8</v>
      </c>
      <c r="D32" s="25">
        <v>4</v>
      </c>
      <c r="E32" s="3">
        <v>90</v>
      </c>
      <c r="F32" s="33">
        <f>+SMALL(B32:D32,2)-SMALL(B32:D32,1)</f>
        <v>4</v>
      </c>
      <c r="H32">
        <v>1</v>
      </c>
      <c r="K32">
        <v>90</v>
      </c>
      <c r="L32">
        <v>90</v>
      </c>
    </row>
    <row r="33" spans="1:12" x14ac:dyDescent="0.25">
      <c r="A33">
        <v>2</v>
      </c>
      <c r="B33" s="4">
        <v>9</v>
      </c>
      <c r="C33" s="17">
        <v>5</v>
      </c>
      <c r="D33" s="17">
        <v>7</v>
      </c>
      <c r="E33" s="16">
        <v>100</v>
      </c>
      <c r="F33" s="30">
        <f>+SMALL(B33:D33,2)-SMALL(B33:D33,1)</f>
        <v>2</v>
      </c>
      <c r="H33">
        <v>2</v>
      </c>
      <c r="L33">
        <v>100</v>
      </c>
    </row>
    <row r="34" spans="1:12" x14ac:dyDescent="0.25">
      <c r="A34" s="3">
        <v>3</v>
      </c>
      <c r="B34" s="25">
        <v>100</v>
      </c>
      <c r="C34" s="25">
        <v>100</v>
      </c>
      <c r="D34" s="25">
        <v>100</v>
      </c>
      <c r="E34" s="3">
        <v>90</v>
      </c>
      <c r="F34" s="33">
        <f t="shared" ref="F34:F37" si="4">+SMALL(B34:D34,2)-SMALL(B34:D34,1)</f>
        <v>0</v>
      </c>
      <c r="H34">
        <v>3</v>
      </c>
      <c r="I34">
        <v>90</v>
      </c>
      <c r="L34">
        <v>90</v>
      </c>
    </row>
    <row r="35" spans="1:12" x14ac:dyDescent="0.25">
      <c r="A35">
        <v>4</v>
      </c>
      <c r="B35" s="32">
        <v>5</v>
      </c>
      <c r="C35" s="17">
        <v>7</v>
      </c>
      <c r="D35" s="17">
        <v>6</v>
      </c>
      <c r="E35" s="16">
        <v>60</v>
      </c>
      <c r="F35" s="30">
        <f t="shared" si="4"/>
        <v>1</v>
      </c>
      <c r="H35">
        <v>4</v>
      </c>
      <c r="I35">
        <v>60</v>
      </c>
      <c r="L35">
        <v>60</v>
      </c>
    </row>
    <row r="36" spans="1:12" x14ac:dyDescent="0.25">
      <c r="A36" t="s">
        <v>3</v>
      </c>
      <c r="B36" s="16">
        <v>90</v>
      </c>
      <c r="C36" s="16">
        <v>60</v>
      </c>
      <c r="D36" s="16">
        <v>10</v>
      </c>
      <c r="E36" s="16"/>
      <c r="F36" s="29"/>
      <c r="H36" t="s">
        <v>3</v>
      </c>
      <c r="I36">
        <v>180</v>
      </c>
      <c r="J36">
        <v>60</v>
      </c>
      <c r="K36">
        <v>100</v>
      </c>
    </row>
    <row r="37" spans="1:12" x14ac:dyDescent="0.25">
      <c r="A37" s="9" t="s">
        <v>10</v>
      </c>
      <c r="B37" s="31">
        <f>+SMALL(B33:B35,2)-SMALL(B33:B35,1)</f>
        <v>4</v>
      </c>
      <c r="C37" s="30">
        <v>2</v>
      </c>
      <c r="D37" s="30">
        <v>1</v>
      </c>
      <c r="F37" s="29"/>
    </row>
    <row r="39" spans="1:12" x14ac:dyDescent="0.25">
      <c r="A39" t="s">
        <v>13</v>
      </c>
    </row>
    <row r="40" spans="1:12" x14ac:dyDescent="0.25">
      <c r="B40" s="27" t="s">
        <v>1</v>
      </c>
      <c r="C40" s="27"/>
      <c r="D40" s="27"/>
      <c r="H40" t="s">
        <v>5</v>
      </c>
      <c r="I40" s="27" t="s">
        <v>1</v>
      </c>
      <c r="J40" s="27"/>
      <c r="K40" s="27"/>
    </row>
    <row r="41" spans="1:12" x14ac:dyDescent="0.25">
      <c r="A41" t="s">
        <v>0</v>
      </c>
      <c r="B41">
        <v>1</v>
      </c>
      <c r="C41">
        <v>2</v>
      </c>
      <c r="D41">
        <v>3</v>
      </c>
      <c r="E41" t="s">
        <v>2</v>
      </c>
      <c r="F41" s="9" t="s">
        <v>10</v>
      </c>
      <c r="H41" t="s">
        <v>0</v>
      </c>
      <c r="I41">
        <v>1</v>
      </c>
      <c r="J41">
        <v>2</v>
      </c>
      <c r="K41">
        <v>3</v>
      </c>
      <c r="L41" t="s">
        <v>2</v>
      </c>
    </row>
    <row r="42" spans="1:12" x14ac:dyDescent="0.25">
      <c r="A42" s="3">
        <v>1</v>
      </c>
      <c r="B42" s="25">
        <v>10</v>
      </c>
      <c r="C42" s="25">
        <v>8</v>
      </c>
      <c r="D42" s="25">
        <v>4</v>
      </c>
      <c r="E42" s="3">
        <v>90</v>
      </c>
      <c r="F42" s="33">
        <f>+SMALL(B42:D42,2)-SMALL(B42:D42,1)</f>
        <v>4</v>
      </c>
      <c r="H42">
        <v>1</v>
      </c>
      <c r="K42">
        <v>90</v>
      </c>
      <c r="L42">
        <v>90</v>
      </c>
    </row>
    <row r="43" spans="1:12" x14ac:dyDescent="0.25">
      <c r="A43">
        <v>2</v>
      </c>
      <c r="B43" s="4">
        <v>9</v>
      </c>
      <c r="C43" s="17">
        <v>5</v>
      </c>
      <c r="D43" s="17">
        <v>7</v>
      </c>
      <c r="E43" s="16">
        <v>100</v>
      </c>
      <c r="F43" s="30">
        <f>+SMALL(B43:D43,2)-SMALL(B43:D43,1)</f>
        <v>2</v>
      </c>
      <c r="H43">
        <v>2</v>
      </c>
      <c r="I43">
        <v>30</v>
      </c>
      <c r="J43">
        <v>60</v>
      </c>
      <c r="K43">
        <v>10</v>
      </c>
      <c r="L43">
        <v>100</v>
      </c>
    </row>
    <row r="44" spans="1:12" x14ac:dyDescent="0.25">
      <c r="A44" s="3">
        <v>3</v>
      </c>
      <c r="B44" s="25">
        <v>100</v>
      </c>
      <c r="C44" s="25">
        <v>100</v>
      </c>
      <c r="D44" s="25">
        <v>100</v>
      </c>
      <c r="E44" s="3">
        <v>90</v>
      </c>
      <c r="F44" s="33">
        <f t="shared" ref="F44:F47" si="5">+SMALL(B44:D44,2)-SMALL(B44:D44,1)</f>
        <v>0</v>
      </c>
      <c r="H44">
        <v>3</v>
      </c>
      <c r="I44">
        <v>90</v>
      </c>
      <c r="L44">
        <v>90</v>
      </c>
    </row>
    <row r="45" spans="1:12" x14ac:dyDescent="0.25">
      <c r="A45" s="3">
        <v>4</v>
      </c>
      <c r="B45" s="25">
        <v>5</v>
      </c>
      <c r="C45" s="25">
        <v>7</v>
      </c>
      <c r="D45" s="25">
        <v>6</v>
      </c>
      <c r="E45" s="3">
        <v>60</v>
      </c>
      <c r="F45" s="33">
        <f t="shared" si="5"/>
        <v>1</v>
      </c>
      <c r="H45">
        <v>4</v>
      </c>
      <c r="I45">
        <v>60</v>
      </c>
      <c r="L45">
        <v>60</v>
      </c>
    </row>
    <row r="46" spans="1:12" x14ac:dyDescent="0.25">
      <c r="A46" t="s">
        <v>3</v>
      </c>
      <c r="B46" s="16">
        <v>30</v>
      </c>
      <c r="C46" s="16">
        <v>60</v>
      </c>
      <c r="D46" s="16">
        <v>10</v>
      </c>
      <c r="E46" s="16"/>
      <c r="F46" s="29"/>
      <c r="H46" t="s">
        <v>3</v>
      </c>
      <c r="I46">
        <v>180</v>
      </c>
      <c r="J46">
        <v>60</v>
      </c>
      <c r="K46">
        <v>100</v>
      </c>
    </row>
    <row r="47" spans="1:12" x14ac:dyDescent="0.25">
      <c r="A47" s="9" t="s">
        <v>10</v>
      </c>
      <c r="B47" s="31"/>
      <c r="C47" s="30"/>
      <c r="D47" s="30"/>
      <c r="F47" s="29"/>
    </row>
    <row r="49" spans="6:7" x14ac:dyDescent="0.25">
      <c r="F49" t="s">
        <v>4</v>
      </c>
      <c r="G49">
        <f>+SUMPRODUCT(I42:K45,B3:D6)</f>
        <v>1570</v>
      </c>
    </row>
  </sheetData>
  <mergeCells count="9">
    <mergeCell ref="B40:D40"/>
    <mergeCell ref="I40:K40"/>
    <mergeCell ref="B10:D10"/>
    <mergeCell ref="I10:K10"/>
    <mergeCell ref="B20:D20"/>
    <mergeCell ref="I20:K20"/>
    <mergeCell ref="B30:D30"/>
    <mergeCell ref="I30:K30"/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F7EC-E46B-46BC-9A71-8831EB9E1118}">
  <dimension ref="A1:K51"/>
  <sheetViews>
    <sheetView topLeftCell="A40" zoomScale="210" zoomScaleNormal="210" workbookViewId="0">
      <selection activeCell="G51" sqref="G51"/>
    </sheetView>
  </sheetViews>
  <sheetFormatPr baseColWidth="10" defaultRowHeight="15" x14ac:dyDescent="0.25"/>
  <sheetData>
    <row r="1" spans="1:11" x14ac:dyDescent="0.25">
      <c r="A1" s="16"/>
      <c r="B1" s="28" t="s">
        <v>1</v>
      </c>
      <c r="C1" s="28"/>
      <c r="D1" s="28"/>
      <c r="E1" s="16"/>
    </row>
    <row r="2" spans="1:11" x14ac:dyDescent="0.25">
      <c r="A2" s="16" t="s">
        <v>0</v>
      </c>
      <c r="B2" s="16">
        <v>1</v>
      </c>
      <c r="C2" s="16">
        <v>2</v>
      </c>
      <c r="D2" s="16">
        <v>3</v>
      </c>
      <c r="E2" s="16" t="s">
        <v>2</v>
      </c>
    </row>
    <row r="3" spans="1:11" x14ac:dyDescent="0.25">
      <c r="A3" s="16">
        <v>1</v>
      </c>
      <c r="B3" s="17">
        <v>19</v>
      </c>
      <c r="C3" s="17">
        <v>16</v>
      </c>
      <c r="D3" s="17">
        <v>11</v>
      </c>
      <c r="E3" s="18">
        <v>130</v>
      </c>
    </row>
    <row r="4" spans="1:11" x14ac:dyDescent="0.25">
      <c r="A4" s="16">
        <v>2</v>
      </c>
      <c r="B4" s="17">
        <v>11</v>
      </c>
      <c r="C4" s="17">
        <v>8</v>
      </c>
      <c r="D4" s="17">
        <v>6</v>
      </c>
      <c r="E4" s="18">
        <v>60</v>
      </c>
    </row>
    <row r="5" spans="1:11" x14ac:dyDescent="0.25">
      <c r="A5" s="16">
        <v>3</v>
      </c>
      <c r="B5" s="17">
        <v>13</v>
      </c>
      <c r="C5" s="17">
        <v>9</v>
      </c>
      <c r="D5" s="17">
        <v>18</v>
      </c>
      <c r="E5" s="18">
        <v>28</v>
      </c>
    </row>
    <row r="6" spans="1:11" x14ac:dyDescent="0.25">
      <c r="A6" s="16">
        <v>4</v>
      </c>
      <c r="B6" s="17">
        <v>17</v>
      </c>
      <c r="C6" s="17">
        <v>5</v>
      </c>
      <c r="D6" s="17">
        <v>15</v>
      </c>
      <c r="E6" s="18">
        <v>93</v>
      </c>
    </row>
    <row r="7" spans="1:11" x14ac:dyDescent="0.25">
      <c r="A7" s="16" t="s">
        <v>7</v>
      </c>
      <c r="B7" s="17">
        <v>100</v>
      </c>
      <c r="C7" s="17">
        <v>100</v>
      </c>
      <c r="D7" s="17">
        <v>100</v>
      </c>
      <c r="E7" s="18">
        <v>9</v>
      </c>
    </row>
    <row r="8" spans="1:11" x14ac:dyDescent="0.25">
      <c r="A8" s="16" t="s">
        <v>3</v>
      </c>
      <c r="B8" s="16">
        <v>90</v>
      </c>
      <c r="C8" s="16">
        <v>80</v>
      </c>
      <c r="D8" s="16">
        <v>150</v>
      </c>
      <c r="E8" s="16"/>
    </row>
    <row r="9" spans="1:11" x14ac:dyDescent="0.25">
      <c r="C9" s="16"/>
    </row>
    <row r="11" spans="1:11" x14ac:dyDescent="0.25">
      <c r="A11" s="16"/>
      <c r="B11" s="28" t="s">
        <v>1</v>
      </c>
      <c r="C11" s="28"/>
      <c r="D11" s="28"/>
      <c r="E11" s="16"/>
      <c r="G11" s="16" t="s">
        <v>5</v>
      </c>
      <c r="H11" s="28" t="s">
        <v>1</v>
      </c>
      <c r="I11" s="28"/>
      <c r="J11" s="28"/>
      <c r="K11" s="16"/>
    </row>
    <row r="12" spans="1:11" x14ac:dyDescent="0.25">
      <c r="A12" s="16" t="s">
        <v>0</v>
      </c>
      <c r="B12" s="16">
        <v>1</v>
      </c>
      <c r="C12" s="16">
        <v>2</v>
      </c>
      <c r="D12" s="16">
        <v>3</v>
      </c>
      <c r="E12" s="16" t="s">
        <v>2</v>
      </c>
      <c r="F12" s="9" t="s">
        <v>14</v>
      </c>
      <c r="G12" s="16" t="s">
        <v>0</v>
      </c>
      <c r="H12" s="16">
        <v>1</v>
      </c>
      <c r="I12" s="16">
        <v>2</v>
      </c>
      <c r="J12" s="16">
        <v>3</v>
      </c>
      <c r="K12" s="16" t="s">
        <v>2</v>
      </c>
    </row>
    <row r="13" spans="1:11" x14ac:dyDescent="0.25">
      <c r="A13" s="16">
        <v>1</v>
      </c>
      <c r="B13" s="17">
        <v>19</v>
      </c>
      <c r="C13" s="17">
        <v>16</v>
      </c>
      <c r="D13" s="17">
        <v>11</v>
      </c>
      <c r="E13" s="18">
        <v>130</v>
      </c>
      <c r="F13" s="30">
        <f>+SMALL(B13:D13,2)-SMALL(B13:D13,1)</f>
        <v>5</v>
      </c>
      <c r="G13" s="19">
        <v>1</v>
      </c>
      <c r="H13" s="20"/>
      <c r="I13" s="20"/>
      <c r="J13" s="20"/>
      <c r="K13" s="21">
        <v>130</v>
      </c>
    </row>
    <row r="14" spans="1:11" x14ac:dyDescent="0.25">
      <c r="A14" s="16">
        <v>2</v>
      </c>
      <c r="B14" s="17">
        <v>11</v>
      </c>
      <c r="C14" s="17">
        <v>8</v>
      </c>
      <c r="D14" s="17">
        <v>6</v>
      </c>
      <c r="E14" s="18">
        <v>60</v>
      </c>
      <c r="F14" s="30">
        <f t="shared" ref="F14:F17" si="0">+SMALL(B14:D14,2)-SMALL(B14:D14,1)</f>
        <v>2</v>
      </c>
      <c r="G14" s="19">
        <v>2</v>
      </c>
      <c r="H14" s="20"/>
      <c r="I14" s="20"/>
      <c r="J14" s="20"/>
      <c r="K14" s="21">
        <v>60</v>
      </c>
    </row>
    <row r="15" spans="1:11" x14ac:dyDescent="0.25">
      <c r="A15" s="16">
        <v>3</v>
      </c>
      <c r="B15" s="17">
        <v>13</v>
      </c>
      <c r="C15" s="17">
        <v>9</v>
      </c>
      <c r="D15" s="17">
        <v>18</v>
      </c>
      <c r="E15" s="18">
        <v>28</v>
      </c>
      <c r="F15" s="30">
        <f t="shared" si="0"/>
        <v>4</v>
      </c>
      <c r="G15" s="19">
        <v>3</v>
      </c>
      <c r="H15" s="20"/>
      <c r="I15" s="20"/>
      <c r="J15" s="20"/>
      <c r="K15" s="21">
        <v>28</v>
      </c>
    </row>
    <row r="16" spans="1:11" x14ac:dyDescent="0.25">
      <c r="A16" s="2">
        <v>4</v>
      </c>
      <c r="B16" s="4">
        <v>17</v>
      </c>
      <c r="C16" s="36">
        <v>5</v>
      </c>
      <c r="D16" s="4">
        <v>15</v>
      </c>
      <c r="E16" s="35">
        <v>93</v>
      </c>
      <c r="F16" s="34">
        <f t="shared" si="0"/>
        <v>10</v>
      </c>
      <c r="G16" s="19">
        <v>4</v>
      </c>
      <c r="H16" s="20"/>
      <c r="I16" s="20">
        <v>80</v>
      </c>
      <c r="J16" s="20"/>
      <c r="K16" s="21">
        <v>93</v>
      </c>
    </row>
    <row r="17" spans="1:11" x14ac:dyDescent="0.25">
      <c r="A17" s="16" t="s">
        <v>7</v>
      </c>
      <c r="B17" s="17">
        <v>100</v>
      </c>
      <c r="C17" s="17">
        <v>100</v>
      </c>
      <c r="D17" s="17">
        <v>100</v>
      </c>
      <c r="E17" s="18">
        <v>9</v>
      </c>
      <c r="F17" s="30">
        <f t="shared" si="0"/>
        <v>0</v>
      </c>
      <c r="G17" s="19" t="s">
        <v>7</v>
      </c>
      <c r="H17" s="20"/>
      <c r="I17" s="20"/>
      <c r="J17" s="20"/>
      <c r="K17" s="21">
        <v>9</v>
      </c>
    </row>
    <row r="18" spans="1:11" x14ac:dyDescent="0.25">
      <c r="A18" s="16" t="s">
        <v>3</v>
      </c>
      <c r="B18" s="16">
        <v>90</v>
      </c>
      <c r="C18" s="16">
        <v>80</v>
      </c>
      <c r="D18" s="16">
        <v>150</v>
      </c>
      <c r="E18" s="16"/>
      <c r="G18" s="16" t="s">
        <v>3</v>
      </c>
      <c r="H18" s="16">
        <v>90</v>
      </c>
      <c r="I18" s="16">
        <v>80</v>
      </c>
      <c r="J18" s="16">
        <v>150</v>
      </c>
    </row>
    <row r="19" spans="1:11" x14ac:dyDescent="0.25">
      <c r="A19" s="9" t="s">
        <v>14</v>
      </c>
      <c r="B19" s="30">
        <f>+SMALL(B13:B17,2)-SMALL(B13:B17,1)</f>
        <v>2</v>
      </c>
      <c r="C19" s="30">
        <f t="shared" ref="C19:D19" si="1">+SMALL(C13:C17,2)-SMALL(C13:C17,1)</f>
        <v>3</v>
      </c>
      <c r="D19" s="30">
        <f t="shared" si="1"/>
        <v>5</v>
      </c>
    </row>
    <row r="21" spans="1:11" x14ac:dyDescent="0.25">
      <c r="A21" s="16"/>
      <c r="B21" s="28" t="s">
        <v>1</v>
      </c>
      <c r="C21" s="28"/>
      <c r="D21" s="28"/>
      <c r="E21" s="16"/>
      <c r="G21" s="16" t="s">
        <v>5</v>
      </c>
      <c r="H21" s="28" t="s">
        <v>1</v>
      </c>
      <c r="I21" s="28"/>
      <c r="J21" s="28"/>
      <c r="K21" s="16"/>
    </row>
    <row r="22" spans="1:11" x14ac:dyDescent="0.25">
      <c r="A22" s="16" t="s">
        <v>0</v>
      </c>
      <c r="B22" s="16">
        <v>1</v>
      </c>
      <c r="C22" s="3">
        <v>2</v>
      </c>
      <c r="D22" s="16">
        <v>3</v>
      </c>
      <c r="E22" s="16" t="s">
        <v>2</v>
      </c>
      <c r="F22" s="9" t="s">
        <v>14</v>
      </c>
      <c r="G22" s="16" t="s">
        <v>0</v>
      </c>
      <c r="H22" s="16">
        <v>1</v>
      </c>
      <c r="I22" s="16">
        <v>2</v>
      </c>
      <c r="J22" s="16">
        <v>3</v>
      </c>
      <c r="K22" s="16" t="s">
        <v>2</v>
      </c>
    </row>
    <row r="23" spans="1:11" x14ac:dyDescent="0.25">
      <c r="A23" s="16">
        <v>1</v>
      </c>
      <c r="B23" s="4">
        <v>19</v>
      </c>
      <c r="C23" s="25">
        <v>100</v>
      </c>
      <c r="D23" s="36">
        <v>11</v>
      </c>
      <c r="E23" s="35">
        <v>130</v>
      </c>
      <c r="F23" s="34">
        <f>+SMALL(B23:D23,2)-SMALL(B23:D23,1)</f>
        <v>8</v>
      </c>
      <c r="G23" s="19">
        <v>1</v>
      </c>
      <c r="H23" s="20"/>
      <c r="I23" s="20"/>
      <c r="J23" s="20">
        <v>130</v>
      </c>
      <c r="K23" s="21">
        <v>130</v>
      </c>
    </row>
    <row r="24" spans="1:11" x14ac:dyDescent="0.25">
      <c r="A24" s="16">
        <v>2</v>
      </c>
      <c r="B24" s="17">
        <v>11</v>
      </c>
      <c r="C24" s="25">
        <v>100</v>
      </c>
      <c r="D24" s="17">
        <v>6</v>
      </c>
      <c r="E24" s="18">
        <v>60</v>
      </c>
      <c r="F24" s="30">
        <f t="shared" ref="F24:F27" si="2">+SMALL(B24:D24,2)-SMALL(B24:D24,1)</f>
        <v>5</v>
      </c>
      <c r="G24" s="19">
        <v>2</v>
      </c>
      <c r="H24" s="20"/>
      <c r="I24" s="20"/>
      <c r="J24" s="20"/>
      <c r="K24" s="21">
        <v>60</v>
      </c>
    </row>
    <row r="25" spans="1:11" x14ac:dyDescent="0.25">
      <c r="A25" s="16">
        <v>3</v>
      </c>
      <c r="B25" s="17">
        <v>13</v>
      </c>
      <c r="C25" s="25">
        <v>100</v>
      </c>
      <c r="D25" s="17">
        <v>18</v>
      </c>
      <c r="E25" s="18">
        <v>28</v>
      </c>
      <c r="F25" s="30">
        <f t="shared" si="2"/>
        <v>5</v>
      </c>
      <c r="G25" s="19">
        <v>3</v>
      </c>
      <c r="H25" s="20"/>
      <c r="I25" s="20"/>
      <c r="J25" s="20"/>
      <c r="K25" s="21">
        <v>28</v>
      </c>
    </row>
    <row r="26" spans="1:11" x14ac:dyDescent="0.25">
      <c r="A26" s="16">
        <v>4</v>
      </c>
      <c r="B26" s="17">
        <v>17</v>
      </c>
      <c r="C26" s="25">
        <v>100</v>
      </c>
      <c r="D26" s="17">
        <v>15</v>
      </c>
      <c r="E26" s="18">
        <v>13</v>
      </c>
      <c r="F26" s="30">
        <f t="shared" si="2"/>
        <v>2</v>
      </c>
      <c r="G26" s="19">
        <v>4</v>
      </c>
      <c r="H26" s="20"/>
      <c r="I26" s="20">
        <v>80</v>
      </c>
      <c r="J26" s="20"/>
      <c r="K26" s="21">
        <v>93</v>
      </c>
    </row>
    <row r="27" spans="1:11" x14ac:dyDescent="0.25">
      <c r="A27" s="16" t="s">
        <v>7</v>
      </c>
      <c r="B27" s="17">
        <v>100</v>
      </c>
      <c r="C27" s="25">
        <v>100</v>
      </c>
      <c r="D27" s="17">
        <v>100</v>
      </c>
      <c r="E27" s="18">
        <v>9</v>
      </c>
      <c r="F27" s="30">
        <f t="shared" si="2"/>
        <v>0</v>
      </c>
      <c r="G27" s="19" t="s">
        <v>7</v>
      </c>
      <c r="H27" s="20"/>
      <c r="I27" s="20"/>
      <c r="J27" s="20"/>
      <c r="K27" s="21">
        <v>9</v>
      </c>
    </row>
    <row r="28" spans="1:11" x14ac:dyDescent="0.25">
      <c r="A28" s="16" t="s">
        <v>3</v>
      </c>
      <c r="B28" s="16">
        <v>90</v>
      </c>
      <c r="C28" s="3">
        <v>80</v>
      </c>
      <c r="D28" s="16">
        <v>150</v>
      </c>
      <c r="E28" s="16"/>
      <c r="G28" s="16" t="s">
        <v>3</v>
      </c>
      <c r="H28" s="16">
        <v>90</v>
      </c>
      <c r="I28" s="16">
        <v>80</v>
      </c>
      <c r="J28" s="16">
        <v>150</v>
      </c>
    </row>
    <row r="29" spans="1:11" x14ac:dyDescent="0.25">
      <c r="A29" s="9" t="s">
        <v>14</v>
      </c>
      <c r="B29" s="30">
        <f>+SMALL(B23:B27,2)-SMALL(B23:B27,1)</f>
        <v>2</v>
      </c>
      <c r="C29" s="33">
        <f t="shared" ref="C29:D29" si="3">+SMALL(C23:C27,2)-SMALL(C23:C27,1)</f>
        <v>0</v>
      </c>
      <c r="D29" s="30">
        <f t="shared" si="3"/>
        <v>5</v>
      </c>
    </row>
    <row r="31" spans="1:11" x14ac:dyDescent="0.25">
      <c r="A31" s="16"/>
      <c r="B31" s="28" t="s">
        <v>1</v>
      </c>
      <c r="C31" s="28"/>
      <c r="D31" s="28"/>
      <c r="E31" s="16"/>
      <c r="G31" s="16" t="s">
        <v>5</v>
      </c>
      <c r="H31" s="28" t="s">
        <v>1</v>
      </c>
      <c r="I31" s="28"/>
      <c r="J31" s="28"/>
      <c r="K31" s="16"/>
    </row>
    <row r="32" spans="1:11" x14ac:dyDescent="0.25">
      <c r="A32" s="16" t="s">
        <v>0</v>
      </c>
      <c r="B32" s="16">
        <v>1</v>
      </c>
      <c r="C32" s="3">
        <v>2</v>
      </c>
      <c r="D32" s="16">
        <v>3</v>
      </c>
      <c r="E32" s="16" t="s">
        <v>2</v>
      </c>
      <c r="F32" s="9" t="s">
        <v>14</v>
      </c>
      <c r="G32" s="16" t="s">
        <v>0</v>
      </c>
      <c r="H32" s="16">
        <v>1</v>
      </c>
      <c r="I32" s="16">
        <v>2</v>
      </c>
      <c r="J32" s="16">
        <v>3</v>
      </c>
      <c r="K32" s="16" t="s">
        <v>2</v>
      </c>
    </row>
    <row r="33" spans="1:11" x14ac:dyDescent="0.25">
      <c r="A33" s="3">
        <v>1</v>
      </c>
      <c r="B33" s="25">
        <v>19</v>
      </c>
      <c r="C33" s="25">
        <v>100</v>
      </c>
      <c r="D33" s="25">
        <v>100</v>
      </c>
      <c r="E33" s="26">
        <v>130</v>
      </c>
      <c r="F33" s="33">
        <f>+SMALL(B33:D33,2)-SMALL(B33:D33,1)</f>
        <v>81</v>
      </c>
      <c r="G33" s="19">
        <v>1</v>
      </c>
      <c r="H33" s="20"/>
      <c r="I33" s="20"/>
      <c r="J33" s="20">
        <v>130</v>
      </c>
      <c r="K33" s="21">
        <v>130</v>
      </c>
    </row>
    <row r="34" spans="1:11" x14ac:dyDescent="0.25">
      <c r="A34" s="16">
        <v>2</v>
      </c>
      <c r="B34" s="17">
        <v>11</v>
      </c>
      <c r="C34" s="25">
        <v>100</v>
      </c>
      <c r="D34" s="36">
        <v>6</v>
      </c>
      <c r="E34" s="18">
        <v>60</v>
      </c>
      <c r="F34" s="30">
        <f t="shared" ref="F34:F37" si="4">+SMALL(B34:D34,2)-SMALL(B34:D34,1)</f>
        <v>5</v>
      </c>
      <c r="G34" s="19">
        <v>2</v>
      </c>
      <c r="H34" s="20"/>
      <c r="I34" s="20"/>
      <c r="J34" s="20">
        <v>20</v>
      </c>
      <c r="K34" s="21">
        <v>60</v>
      </c>
    </row>
    <row r="35" spans="1:11" x14ac:dyDescent="0.25">
      <c r="A35" s="16">
        <v>3</v>
      </c>
      <c r="B35" s="17">
        <v>13</v>
      </c>
      <c r="C35" s="25">
        <v>100</v>
      </c>
      <c r="D35" s="4">
        <v>18</v>
      </c>
      <c r="E35" s="18">
        <v>28</v>
      </c>
      <c r="F35" s="30">
        <f t="shared" si="4"/>
        <v>5</v>
      </c>
      <c r="G35" s="19">
        <v>3</v>
      </c>
      <c r="H35" s="20"/>
      <c r="I35" s="20"/>
      <c r="J35" s="20"/>
      <c r="K35" s="21">
        <v>28</v>
      </c>
    </row>
    <row r="36" spans="1:11" x14ac:dyDescent="0.25">
      <c r="A36" s="16">
        <v>4</v>
      </c>
      <c r="B36" s="17">
        <v>17</v>
      </c>
      <c r="C36" s="25">
        <v>100</v>
      </c>
      <c r="D36" s="4">
        <v>15</v>
      </c>
      <c r="E36" s="18">
        <v>13</v>
      </c>
      <c r="F36" s="30">
        <f t="shared" si="4"/>
        <v>2</v>
      </c>
      <c r="G36" s="19">
        <v>4</v>
      </c>
      <c r="H36" s="20"/>
      <c r="I36" s="20">
        <v>80</v>
      </c>
      <c r="J36" s="20"/>
      <c r="K36" s="21">
        <v>93</v>
      </c>
    </row>
    <row r="37" spans="1:11" x14ac:dyDescent="0.25">
      <c r="A37" s="16" t="s">
        <v>7</v>
      </c>
      <c r="B37" s="17">
        <v>100</v>
      </c>
      <c r="C37" s="25">
        <v>100</v>
      </c>
      <c r="D37" s="4">
        <v>100</v>
      </c>
      <c r="E37" s="18">
        <v>9</v>
      </c>
      <c r="F37" s="30">
        <f t="shared" si="4"/>
        <v>0</v>
      </c>
      <c r="G37" s="19" t="s">
        <v>7</v>
      </c>
      <c r="H37" s="20"/>
      <c r="I37" s="20"/>
      <c r="J37" s="20"/>
      <c r="K37" s="21">
        <v>9</v>
      </c>
    </row>
    <row r="38" spans="1:11" x14ac:dyDescent="0.25">
      <c r="A38" s="16" t="s">
        <v>3</v>
      </c>
      <c r="B38" s="16">
        <v>90</v>
      </c>
      <c r="C38" s="3">
        <v>80</v>
      </c>
      <c r="D38" s="2">
        <v>20</v>
      </c>
      <c r="E38" s="16"/>
      <c r="G38" s="16" t="s">
        <v>3</v>
      </c>
      <c r="H38" s="16">
        <v>90</v>
      </c>
      <c r="I38" s="16">
        <v>80</v>
      </c>
      <c r="J38" s="16">
        <v>150</v>
      </c>
    </row>
    <row r="39" spans="1:11" x14ac:dyDescent="0.25">
      <c r="A39" s="9" t="s">
        <v>14</v>
      </c>
      <c r="B39" s="30">
        <f>+SMALL(B34:B37,2)-SMALL(B34:B37,1)</f>
        <v>2</v>
      </c>
      <c r="C39" s="33">
        <f t="shared" ref="C39:D39" si="5">+SMALL(C33:C37,2)-SMALL(C33:C37,1)</f>
        <v>0</v>
      </c>
      <c r="D39" s="34">
        <f t="shared" si="5"/>
        <v>9</v>
      </c>
    </row>
    <row r="41" spans="1:11" x14ac:dyDescent="0.25">
      <c r="A41" s="16"/>
      <c r="B41" s="28" t="s">
        <v>1</v>
      </c>
      <c r="C41" s="28"/>
      <c r="D41" s="28"/>
      <c r="E41" s="16"/>
      <c r="G41" s="16" t="s">
        <v>5</v>
      </c>
      <c r="H41" s="28" t="s">
        <v>1</v>
      </c>
      <c r="I41" s="28"/>
      <c r="J41" s="28"/>
      <c r="K41" s="16"/>
    </row>
    <row r="42" spans="1:11" x14ac:dyDescent="0.25">
      <c r="A42" s="16" t="s">
        <v>0</v>
      </c>
      <c r="B42" s="16">
        <v>1</v>
      </c>
      <c r="C42" s="3">
        <v>2</v>
      </c>
      <c r="D42" s="16">
        <v>3</v>
      </c>
      <c r="E42" s="16" t="s">
        <v>2</v>
      </c>
      <c r="F42" s="9" t="s">
        <v>14</v>
      </c>
      <c r="G42" s="16" t="s">
        <v>0</v>
      </c>
      <c r="H42" s="16">
        <v>1</v>
      </c>
      <c r="I42" s="16">
        <v>2</v>
      </c>
      <c r="J42" s="16">
        <v>3</v>
      </c>
      <c r="K42" s="16" t="s">
        <v>2</v>
      </c>
    </row>
    <row r="43" spans="1:11" x14ac:dyDescent="0.25">
      <c r="A43" s="3">
        <v>1</v>
      </c>
      <c r="B43" s="25">
        <v>19</v>
      </c>
      <c r="C43" s="25">
        <v>100</v>
      </c>
      <c r="D43" s="25">
        <v>100</v>
      </c>
      <c r="E43" s="26">
        <v>130</v>
      </c>
      <c r="F43" s="33">
        <f>+SMALL(B43:D43,2)-SMALL(B43:D43,1)</f>
        <v>81</v>
      </c>
      <c r="G43" s="19">
        <v>1</v>
      </c>
      <c r="H43" s="20"/>
      <c r="I43" s="20"/>
      <c r="J43" s="20">
        <v>130</v>
      </c>
      <c r="K43" s="21">
        <v>130</v>
      </c>
    </row>
    <row r="44" spans="1:11" x14ac:dyDescent="0.25">
      <c r="A44" s="16">
        <v>2</v>
      </c>
      <c r="B44" s="17">
        <v>11</v>
      </c>
      <c r="C44" s="25">
        <v>100</v>
      </c>
      <c r="D44" s="25">
        <v>100</v>
      </c>
      <c r="E44" s="18">
        <v>60</v>
      </c>
      <c r="F44" s="33">
        <f t="shared" ref="F44:F47" si="6">+SMALL(B44:D44,2)-SMALL(B44:D44,1)</f>
        <v>89</v>
      </c>
      <c r="G44" s="19">
        <v>2</v>
      </c>
      <c r="H44" s="20">
        <v>40</v>
      </c>
      <c r="I44" s="20"/>
      <c r="J44" s="20">
        <v>20</v>
      </c>
      <c r="K44" s="21">
        <v>60</v>
      </c>
    </row>
    <row r="45" spans="1:11" x14ac:dyDescent="0.25">
      <c r="A45" s="16">
        <v>3</v>
      </c>
      <c r="B45" s="17">
        <v>13</v>
      </c>
      <c r="C45" s="25">
        <v>100</v>
      </c>
      <c r="D45" s="25">
        <v>1100</v>
      </c>
      <c r="E45" s="18">
        <v>28</v>
      </c>
      <c r="F45" s="33">
        <f t="shared" si="6"/>
        <v>87</v>
      </c>
      <c r="G45" s="19">
        <v>3</v>
      </c>
      <c r="H45" s="20">
        <v>28</v>
      </c>
      <c r="I45" s="20"/>
      <c r="J45" s="20"/>
      <c r="K45" s="21">
        <v>28</v>
      </c>
    </row>
    <row r="46" spans="1:11" x14ac:dyDescent="0.25">
      <c r="A46" s="16">
        <v>4</v>
      </c>
      <c r="B46" s="17">
        <v>17</v>
      </c>
      <c r="C46" s="25">
        <v>100</v>
      </c>
      <c r="D46" s="25">
        <v>100</v>
      </c>
      <c r="E46" s="18">
        <v>13</v>
      </c>
      <c r="F46" s="33">
        <f t="shared" si="6"/>
        <v>83</v>
      </c>
      <c r="G46" s="19">
        <v>4</v>
      </c>
      <c r="H46" s="20">
        <v>13</v>
      </c>
      <c r="I46" s="20">
        <v>80</v>
      </c>
      <c r="J46" s="20"/>
      <c r="K46" s="21">
        <v>93</v>
      </c>
    </row>
    <row r="47" spans="1:11" x14ac:dyDescent="0.25">
      <c r="A47" s="16" t="s">
        <v>7</v>
      </c>
      <c r="B47" s="17">
        <v>100</v>
      </c>
      <c r="C47" s="25">
        <v>100</v>
      </c>
      <c r="D47" s="25">
        <v>10</v>
      </c>
      <c r="E47" s="18">
        <v>9</v>
      </c>
      <c r="F47" s="33">
        <f t="shared" si="6"/>
        <v>90</v>
      </c>
      <c r="G47" s="19" t="s">
        <v>7</v>
      </c>
      <c r="H47" s="20">
        <v>9</v>
      </c>
      <c r="I47" s="20"/>
      <c r="J47" s="20"/>
      <c r="K47" s="21">
        <v>9</v>
      </c>
    </row>
    <row r="48" spans="1:11" x14ac:dyDescent="0.25">
      <c r="A48" s="16" t="s">
        <v>3</v>
      </c>
      <c r="B48" s="16">
        <v>90</v>
      </c>
      <c r="C48" s="3">
        <v>80</v>
      </c>
      <c r="D48" s="3">
        <v>20</v>
      </c>
      <c r="E48" s="16"/>
      <c r="G48" s="16" t="s">
        <v>3</v>
      </c>
      <c r="H48" s="16">
        <v>90</v>
      </c>
      <c r="I48" s="16">
        <v>80</v>
      </c>
      <c r="J48" s="16">
        <v>150</v>
      </c>
    </row>
    <row r="49" spans="1:7" x14ac:dyDescent="0.25">
      <c r="A49" s="9" t="s">
        <v>14</v>
      </c>
      <c r="B49" s="30">
        <f>+SMALL(B44:B47,2)-SMALL(B44:B47,1)</f>
        <v>2</v>
      </c>
      <c r="C49" s="33">
        <f t="shared" ref="C49:D49" si="7">+SMALL(C43:C47,2)-SMALL(C43:C47,1)</f>
        <v>0</v>
      </c>
      <c r="D49" s="33">
        <f t="shared" si="7"/>
        <v>90</v>
      </c>
    </row>
    <row r="51" spans="1:7" x14ac:dyDescent="0.25">
      <c r="F51" t="s">
        <v>8</v>
      </c>
      <c r="G51">
        <f>+SUMPRODUCT(H43:J46,B3:D6)</f>
        <v>2975</v>
      </c>
    </row>
  </sheetData>
  <mergeCells count="9">
    <mergeCell ref="B41:D41"/>
    <mergeCell ref="H41:J41"/>
    <mergeCell ref="B11:D11"/>
    <mergeCell ref="H11:J11"/>
    <mergeCell ref="B21:D21"/>
    <mergeCell ref="H21:J21"/>
    <mergeCell ref="B31:D31"/>
    <mergeCell ref="H31:J31"/>
    <mergeCell ref="B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A9D5-6AA5-4BA3-863A-57F950A3B891}">
  <dimension ref="A1:L68"/>
  <sheetViews>
    <sheetView topLeftCell="A55" zoomScale="190" zoomScaleNormal="190" workbookViewId="0">
      <selection activeCell="F66" sqref="F66"/>
    </sheetView>
  </sheetViews>
  <sheetFormatPr baseColWidth="10" defaultRowHeight="15" x14ac:dyDescent="0.25"/>
  <sheetData>
    <row r="1" spans="1:12" x14ac:dyDescent="0.25">
      <c r="B1" s="27" t="s">
        <v>1</v>
      </c>
      <c r="C1" s="27"/>
      <c r="D1" s="27"/>
    </row>
    <row r="2" spans="1:12" x14ac:dyDescent="0.25">
      <c r="A2" t="s">
        <v>0</v>
      </c>
      <c r="B2">
        <v>1</v>
      </c>
      <c r="C2">
        <v>2</v>
      </c>
      <c r="D2">
        <v>3</v>
      </c>
      <c r="E2" t="s">
        <v>2</v>
      </c>
    </row>
    <row r="3" spans="1:12" x14ac:dyDescent="0.25">
      <c r="A3">
        <v>1</v>
      </c>
      <c r="B3" s="17">
        <v>10</v>
      </c>
      <c r="C3" s="17">
        <v>8</v>
      </c>
      <c r="D3" s="17">
        <v>4</v>
      </c>
      <c r="E3" s="16">
        <v>90</v>
      </c>
    </row>
    <row r="4" spans="1:12" x14ac:dyDescent="0.25">
      <c r="A4">
        <v>2</v>
      </c>
      <c r="B4" s="17">
        <v>9</v>
      </c>
      <c r="C4" s="17">
        <v>5</v>
      </c>
      <c r="D4" s="17">
        <v>7</v>
      </c>
      <c r="E4" s="16">
        <v>100</v>
      </c>
    </row>
    <row r="5" spans="1:12" x14ac:dyDescent="0.25">
      <c r="A5">
        <v>3</v>
      </c>
      <c r="B5" s="17">
        <v>3</v>
      </c>
      <c r="C5" s="17">
        <v>6</v>
      </c>
      <c r="D5" s="17">
        <v>9</v>
      </c>
      <c r="E5" s="16">
        <v>90</v>
      </c>
    </row>
    <row r="6" spans="1:12" x14ac:dyDescent="0.25">
      <c r="A6">
        <v>4</v>
      </c>
      <c r="B6" s="17">
        <v>5</v>
      </c>
      <c r="C6" s="17">
        <v>7</v>
      </c>
      <c r="D6" s="17">
        <v>6</v>
      </c>
      <c r="E6" s="16">
        <v>60</v>
      </c>
    </row>
    <row r="7" spans="1:12" x14ac:dyDescent="0.25">
      <c r="A7" t="s">
        <v>3</v>
      </c>
      <c r="B7" s="16">
        <v>180</v>
      </c>
      <c r="C7" s="16">
        <v>60</v>
      </c>
      <c r="D7" s="16">
        <v>100</v>
      </c>
      <c r="E7" s="16"/>
    </row>
    <row r="9" spans="1:12" x14ac:dyDescent="0.25">
      <c r="A9" t="s">
        <v>9</v>
      </c>
    </row>
    <row r="10" spans="1:12" x14ac:dyDescent="0.25">
      <c r="B10" s="27" t="s">
        <v>1</v>
      </c>
      <c r="C10" s="27"/>
      <c r="D10" s="27"/>
      <c r="H10" t="s">
        <v>5</v>
      </c>
      <c r="I10" s="27" t="s">
        <v>1</v>
      </c>
      <c r="J10" s="27"/>
      <c r="K10" s="27"/>
    </row>
    <row r="11" spans="1:12" x14ac:dyDescent="0.25">
      <c r="A11" t="s">
        <v>0</v>
      </c>
      <c r="B11">
        <v>1</v>
      </c>
      <c r="C11">
        <v>2</v>
      </c>
      <c r="D11">
        <v>3</v>
      </c>
      <c r="E11" t="s">
        <v>2</v>
      </c>
      <c r="F11" s="9" t="s">
        <v>10</v>
      </c>
      <c r="H11" t="s">
        <v>0</v>
      </c>
      <c r="I11">
        <v>1</v>
      </c>
      <c r="J11">
        <v>2</v>
      </c>
      <c r="K11">
        <v>3</v>
      </c>
      <c r="L11" t="s">
        <v>2</v>
      </c>
    </row>
    <row r="12" spans="1:12" x14ac:dyDescent="0.25">
      <c r="A12" s="2">
        <v>1</v>
      </c>
      <c r="B12" s="4">
        <v>10</v>
      </c>
      <c r="C12" s="4">
        <v>8</v>
      </c>
      <c r="D12" s="32">
        <v>4</v>
      </c>
      <c r="E12" s="2">
        <v>90</v>
      </c>
      <c r="F12" s="31">
        <f>+SMALL(B12:D12,2)-SMALL(B12:D12,1)</f>
        <v>4</v>
      </c>
      <c r="H12">
        <v>1</v>
      </c>
      <c r="K12">
        <v>90</v>
      </c>
      <c r="L12">
        <v>90</v>
      </c>
    </row>
    <row r="13" spans="1:12" x14ac:dyDescent="0.25">
      <c r="A13">
        <v>2</v>
      </c>
      <c r="B13" s="17">
        <v>9</v>
      </c>
      <c r="C13" s="17">
        <v>5</v>
      </c>
      <c r="D13" s="17">
        <v>7</v>
      </c>
      <c r="E13" s="16">
        <v>100</v>
      </c>
      <c r="F13" s="30">
        <f>+SMALL(B13:D13,2)-SMALL(B13:D13,1)</f>
        <v>2</v>
      </c>
      <c r="H13">
        <v>2</v>
      </c>
      <c r="L13">
        <v>100</v>
      </c>
    </row>
    <row r="14" spans="1:12" x14ac:dyDescent="0.25">
      <c r="A14">
        <v>3</v>
      </c>
      <c r="B14" s="17">
        <v>3</v>
      </c>
      <c r="C14" s="17">
        <v>6</v>
      </c>
      <c r="D14" s="17">
        <v>9</v>
      </c>
      <c r="E14" s="16">
        <v>90</v>
      </c>
      <c r="F14" s="30">
        <f t="shared" ref="F14:F18" si="0">+SMALL(B14:D14,2)-SMALL(B14:D14,1)</f>
        <v>3</v>
      </c>
      <c r="H14">
        <v>3</v>
      </c>
      <c r="L14">
        <v>90</v>
      </c>
    </row>
    <row r="15" spans="1:12" x14ac:dyDescent="0.25">
      <c r="A15">
        <v>4</v>
      </c>
      <c r="B15" s="17">
        <v>5</v>
      </c>
      <c r="C15" s="17">
        <v>7</v>
      </c>
      <c r="D15" s="17">
        <v>6</v>
      </c>
      <c r="E15" s="16">
        <v>60</v>
      </c>
      <c r="F15" s="30">
        <f t="shared" si="0"/>
        <v>1</v>
      </c>
      <c r="H15">
        <v>4</v>
      </c>
      <c r="L15">
        <v>60</v>
      </c>
    </row>
    <row r="16" spans="1:12" x14ac:dyDescent="0.25">
      <c r="A16" t="s">
        <v>3</v>
      </c>
      <c r="B16" s="16">
        <v>180</v>
      </c>
      <c r="C16" s="16">
        <v>60</v>
      </c>
      <c r="D16" s="16">
        <v>100</v>
      </c>
      <c r="E16" s="16"/>
      <c r="F16" s="29"/>
      <c r="H16" t="s">
        <v>3</v>
      </c>
      <c r="I16">
        <v>180</v>
      </c>
      <c r="J16">
        <v>60</v>
      </c>
      <c r="K16">
        <v>100</v>
      </c>
    </row>
    <row r="17" spans="1:12" x14ac:dyDescent="0.25">
      <c r="A17" s="9" t="s">
        <v>10</v>
      </c>
      <c r="B17" s="30">
        <f>+SMALL(B12:B15,2)-SMALL(B12:B15,1)</f>
        <v>2</v>
      </c>
      <c r="C17" s="30">
        <f t="shared" ref="C17:D17" si="1">+SMALL(C12:C15,2)-SMALL(C12:C15,1)</f>
        <v>1</v>
      </c>
      <c r="D17" s="30">
        <f t="shared" si="1"/>
        <v>2</v>
      </c>
      <c r="F17" s="29"/>
    </row>
    <row r="19" spans="1:12" x14ac:dyDescent="0.25">
      <c r="A19" t="s">
        <v>11</v>
      </c>
    </row>
    <row r="20" spans="1:12" x14ac:dyDescent="0.25">
      <c r="B20" s="27" t="s">
        <v>1</v>
      </c>
      <c r="C20" s="27"/>
      <c r="D20" s="27"/>
      <c r="H20" t="s">
        <v>5</v>
      </c>
      <c r="I20" s="27" t="s">
        <v>1</v>
      </c>
      <c r="J20" s="27"/>
      <c r="K20" s="27"/>
    </row>
    <row r="21" spans="1:12" x14ac:dyDescent="0.25">
      <c r="A21" t="s">
        <v>0</v>
      </c>
      <c r="B21">
        <v>1</v>
      </c>
      <c r="C21">
        <v>2</v>
      </c>
      <c r="D21">
        <v>3</v>
      </c>
      <c r="E21" t="s">
        <v>2</v>
      </c>
      <c r="F21" s="9" t="s">
        <v>10</v>
      </c>
      <c r="H21" t="s">
        <v>0</v>
      </c>
      <c r="I21">
        <v>1</v>
      </c>
      <c r="J21">
        <v>2</v>
      </c>
      <c r="K21">
        <v>3</v>
      </c>
      <c r="L21" t="s">
        <v>2</v>
      </c>
    </row>
    <row r="22" spans="1:12" x14ac:dyDescent="0.25">
      <c r="A22" s="3">
        <v>1</v>
      </c>
      <c r="B22" s="25">
        <v>10</v>
      </c>
      <c r="C22" s="25">
        <v>8</v>
      </c>
      <c r="D22" s="25">
        <v>4</v>
      </c>
      <c r="E22" s="3">
        <v>90</v>
      </c>
      <c r="F22" s="33">
        <f>+SMALL(B22:D22,2)-SMALL(B22:D22,1)</f>
        <v>4</v>
      </c>
      <c r="H22">
        <v>1</v>
      </c>
      <c r="K22">
        <v>90</v>
      </c>
      <c r="L22">
        <v>90</v>
      </c>
    </row>
    <row r="23" spans="1:12" x14ac:dyDescent="0.25">
      <c r="A23">
        <v>2</v>
      </c>
      <c r="B23" s="17">
        <v>9</v>
      </c>
      <c r="C23" s="17">
        <v>5</v>
      </c>
      <c r="D23" s="17">
        <v>7</v>
      </c>
      <c r="E23" s="16">
        <v>100</v>
      </c>
      <c r="F23" s="30">
        <f>+SMALL(B23:D23,2)-SMALL(B23:D23,1)</f>
        <v>2</v>
      </c>
      <c r="H23">
        <v>2</v>
      </c>
      <c r="L23">
        <v>100</v>
      </c>
    </row>
    <row r="24" spans="1:12" x14ac:dyDescent="0.25">
      <c r="A24" s="2">
        <v>3</v>
      </c>
      <c r="B24" s="32">
        <v>3</v>
      </c>
      <c r="C24" s="4">
        <v>6</v>
      </c>
      <c r="D24" s="4">
        <v>9</v>
      </c>
      <c r="E24" s="2">
        <v>90</v>
      </c>
      <c r="F24" s="31">
        <f t="shared" ref="F24:F27" si="2">+SMALL(B24:D24,2)-SMALL(B24:D24,1)</f>
        <v>3</v>
      </c>
      <c r="H24">
        <v>3</v>
      </c>
      <c r="I24">
        <v>90</v>
      </c>
      <c r="L24">
        <v>90</v>
      </c>
    </row>
    <row r="25" spans="1:12" x14ac:dyDescent="0.25">
      <c r="A25">
        <v>4</v>
      </c>
      <c r="B25" s="17">
        <v>5</v>
      </c>
      <c r="C25" s="17">
        <v>7</v>
      </c>
      <c r="D25" s="17">
        <v>6</v>
      </c>
      <c r="E25" s="16">
        <v>60</v>
      </c>
      <c r="F25" s="30">
        <f t="shared" si="2"/>
        <v>1</v>
      </c>
      <c r="H25">
        <v>4</v>
      </c>
      <c r="L25">
        <v>60</v>
      </c>
    </row>
    <row r="26" spans="1:12" x14ac:dyDescent="0.25">
      <c r="A26" t="s">
        <v>3</v>
      </c>
      <c r="B26" s="16">
        <v>180</v>
      </c>
      <c r="C26" s="16">
        <v>60</v>
      </c>
      <c r="D26" s="16">
        <v>10</v>
      </c>
      <c r="E26" s="16"/>
      <c r="F26" s="29"/>
      <c r="H26" t="s">
        <v>3</v>
      </c>
      <c r="I26">
        <v>180</v>
      </c>
      <c r="J26">
        <v>60</v>
      </c>
      <c r="K26">
        <v>100</v>
      </c>
    </row>
    <row r="27" spans="1:12" x14ac:dyDescent="0.25">
      <c r="A27" s="9" t="s">
        <v>10</v>
      </c>
      <c r="B27" s="30">
        <f>+SMALL(B23:B25,2)-SMALL(B23:B25,1)</f>
        <v>2</v>
      </c>
      <c r="C27" s="30">
        <f>+SMALL(C23:C25,2)-SMALL(C23:C25,1)</f>
        <v>1</v>
      </c>
      <c r="D27" s="30">
        <f t="shared" ref="D27:E27" si="3">+SMALL(D23:D25,2)-SMALL(D23:D25,1)</f>
        <v>1</v>
      </c>
      <c r="F27" s="29"/>
    </row>
    <row r="29" spans="1:12" x14ac:dyDescent="0.25">
      <c r="A29" t="s">
        <v>12</v>
      </c>
    </row>
    <row r="30" spans="1:12" x14ac:dyDescent="0.25">
      <c r="B30" s="27" t="s">
        <v>1</v>
      </c>
      <c r="C30" s="27"/>
      <c r="D30" s="27"/>
      <c r="H30" t="s">
        <v>5</v>
      </c>
      <c r="I30" s="27" t="s">
        <v>1</v>
      </c>
      <c r="J30" s="27"/>
      <c r="K30" s="27"/>
    </row>
    <row r="31" spans="1:12" x14ac:dyDescent="0.25">
      <c r="A31" t="s">
        <v>0</v>
      </c>
      <c r="B31">
        <v>1</v>
      </c>
      <c r="C31">
        <v>2</v>
      </c>
      <c r="D31">
        <v>3</v>
      </c>
      <c r="E31" t="s">
        <v>2</v>
      </c>
      <c r="F31" s="9" t="s">
        <v>10</v>
      </c>
      <c r="H31" t="s">
        <v>0</v>
      </c>
      <c r="I31">
        <v>1</v>
      </c>
      <c r="J31">
        <v>2</v>
      </c>
      <c r="K31">
        <v>3</v>
      </c>
      <c r="L31" t="s">
        <v>2</v>
      </c>
    </row>
    <row r="32" spans="1:12" x14ac:dyDescent="0.25">
      <c r="A32" s="3">
        <v>1</v>
      </c>
      <c r="B32" s="25">
        <v>10</v>
      </c>
      <c r="C32" s="25">
        <v>8</v>
      </c>
      <c r="D32" s="25">
        <v>4</v>
      </c>
      <c r="E32" s="3">
        <v>90</v>
      </c>
      <c r="F32" s="33">
        <f>+SMALL(B32:D32,2)-SMALL(B32:D32,1)</f>
        <v>4</v>
      </c>
      <c r="H32">
        <v>1</v>
      </c>
      <c r="K32">
        <v>90</v>
      </c>
      <c r="L32">
        <v>90</v>
      </c>
    </row>
    <row r="33" spans="1:12" x14ac:dyDescent="0.25">
      <c r="A33">
        <v>2</v>
      </c>
      <c r="B33" s="4">
        <v>9</v>
      </c>
      <c r="C33" s="17">
        <v>5</v>
      </c>
      <c r="D33" s="17">
        <v>7</v>
      </c>
      <c r="E33" s="16">
        <v>100</v>
      </c>
      <c r="F33" s="30">
        <f>+SMALL(B33:D33,2)-SMALL(B33:D33,1)</f>
        <v>2</v>
      </c>
      <c r="H33">
        <v>2</v>
      </c>
      <c r="L33">
        <v>100</v>
      </c>
    </row>
    <row r="34" spans="1:12" x14ac:dyDescent="0.25">
      <c r="A34" s="3">
        <v>3</v>
      </c>
      <c r="B34" s="25">
        <v>100</v>
      </c>
      <c r="C34" s="25">
        <v>100</v>
      </c>
      <c r="D34" s="25">
        <v>100</v>
      </c>
      <c r="E34" s="3">
        <v>90</v>
      </c>
      <c r="F34" s="33">
        <f t="shared" ref="F34:F37" si="4">+SMALL(B34:D34,2)-SMALL(B34:D34,1)</f>
        <v>0</v>
      </c>
      <c r="H34">
        <v>3</v>
      </c>
      <c r="I34">
        <v>90</v>
      </c>
      <c r="L34">
        <v>90</v>
      </c>
    </row>
    <row r="35" spans="1:12" x14ac:dyDescent="0.25">
      <c r="A35">
        <v>4</v>
      </c>
      <c r="B35" s="32">
        <v>5</v>
      </c>
      <c r="C35" s="17">
        <v>7</v>
      </c>
      <c r="D35" s="17">
        <v>6</v>
      </c>
      <c r="E35" s="16">
        <v>60</v>
      </c>
      <c r="F35" s="30">
        <f t="shared" si="4"/>
        <v>1</v>
      </c>
      <c r="H35">
        <v>4</v>
      </c>
      <c r="I35">
        <v>60</v>
      </c>
      <c r="L35">
        <v>60</v>
      </c>
    </row>
    <row r="36" spans="1:12" x14ac:dyDescent="0.25">
      <c r="A36" t="s">
        <v>3</v>
      </c>
      <c r="B36" s="16">
        <v>90</v>
      </c>
      <c r="C36" s="16">
        <v>60</v>
      </c>
      <c r="D36" s="16">
        <v>10</v>
      </c>
      <c r="E36" s="16"/>
      <c r="F36" s="29"/>
      <c r="H36" t="s">
        <v>3</v>
      </c>
      <c r="I36">
        <v>180</v>
      </c>
      <c r="J36">
        <v>60</v>
      </c>
      <c r="K36">
        <v>100</v>
      </c>
    </row>
    <row r="37" spans="1:12" x14ac:dyDescent="0.25">
      <c r="A37" s="9" t="s">
        <v>10</v>
      </c>
      <c r="B37" s="31">
        <f>+SMALL(B33:B35,2)-SMALL(B33:B35,1)</f>
        <v>4</v>
      </c>
      <c r="C37" s="30">
        <v>2</v>
      </c>
      <c r="D37" s="30">
        <v>1</v>
      </c>
      <c r="F37" s="29"/>
    </row>
    <row r="39" spans="1:12" x14ac:dyDescent="0.25">
      <c r="A39" t="s">
        <v>13</v>
      </c>
    </row>
    <row r="40" spans="1:12" x14ac:dyDescent="0.25">
      <c r="B40" s="27" t="s">
        <v>1</v>
      </c>
      <c r="C40" s="27"/>
      <c r="D40" s="27"/>
      <c r="H40" t="s">
        <v>5</v>
      </c>
      <c r="I40" s="27" t="s">
        <v>1</v>
      </c>
      <c r="J40" s="27"/>
      <c r="K40" s="27"/>
    </row>
    <row r="41" spans="1:12" x14ac:dyDescent="0.25">
      <c r="A41" t="s">
        <v>0</v>
      </c>
      <c r="B41">
        <v>1</v>
      </c>
      <c r="C41">
        <v>2</v>
      </c>
      <c r="D41">
        <v>3</v>
      </c>
      <c r="E41" t="s">
        <v>2</v>
      </c>
      <c r="F41" s="9" t="s">
        <v>10</v>
      </c>
      <c r="H41" t="s">
        <v>0</v>
      </c>
      <c r="I41">
        <v>1</v>
      </c>
      <c r="J41">
        <v>2</v>
      </c>
      <c r="K41">
        <v>3</v>
      </c>
      <c r="L41" t="s">
        <v>2</v>
      </c>
    </row>
    <row r="42" spans="1:12" x14ac:dyDescent="0.25">
      <c r="A42" s="3">
        <v>1</v>
      </c>
      <c r="B42" s="25">
        <v>10</v>
      </c>
      <c r="C42" s="25">
        <v>8</v>
      </c>
      <c r="D42" s="25">
        <v>4</v>
      </c>
      <c r="E42" s="3">
        <v>90</v>
      </c>
      <c r="F42" s="33">
        <f>+SMALL(B42:D42,2)-SMALL(B42:D42,1)</f>
        <v>4</v>
      </c>
      <c r="H42">
        <v>1</v>
      </c>
      <c r="K42">
        <v>90</v>
      </c>
      <c r="L42">
        <v>90</v>
      </c>
    </row>
    <row r="43" spans="1:12" x14ac:dyDescent="0.25">
      <c r="A43">
        <v>2</v>
      </c>
      <c r="B43" s="4">
        <v>9</v>
      </c>
      <c r="C43" s="17">
        <v>5</v>
      </c>
      <c r="D43" s="17">
        <v>7</v>
      </c>
      <c r="E43" s="16">
        <v>100</v>
      </c>
      <c r="F43" s="30">
        <f>+SMALL(B43:D43,2)-SMALL(B43:D43,1)</f>
        <v>2</v>
      </c>
      <c r="H43">
        <v>2</v>
      </c>
      <c r="I43">
        <v>30</v>
      </c>
      <c r="J43">
        <v>60</v>
      </c>
      <c r="K43">
        <v>10</v>
      </c>
      <c r="L43">
        <v>100</v>
      </c>
    </row>
    <row r="44" spans="1:12" x14ac:dyDescent="0.25">
      <c r="A44" s="3">
        <v>3</v>
      </c>
      <c r="B44" s="25">
        <v>100</v>
      </c>
      <c r="C44" s="25">
        <v>100</v>
      </c>
      <c r="D44" s="25">
        <v>100</v>
      </c>
      <c r="E44" s="3">
        <v>90</v>
      </c>
      <c r="F44" s="33">
        <f t="shared" ref="F44:F47" si="5">+SMALL(B44:D44,2)-SMALL(B44:D44,1)</f>
        <v>0</v>
      </c>
      <c r="H44">
        <v>3</v>
      </c>
      <c r="I44">
        <v>90</v>
      </c>
      <c r="L44">
        <v>90</v>
      </c>
    </row>
    <row r="45" spans="1:12" x14ac:dyDescent="0.25">
      <c r="A45" s="3">
        <v>4</v>
      </c>
      <c r="B45" s="25">
        <v>5</v>
      </c>
      <c r="C45" s="25">
        <v>7</v>
      </c>
      <c r="D45" s="25">
        <v>6</v>
      </c>
      <c r="E45" s="3">
        <v>60</v>
      </c>
      <c r="F45" s="33">
        <f t="shared" si="5"/>
        <v>1</v>
      </c>
      <c r="H45">
        <v>4</v>
      </c>
      <c r="I45">
        <v>60</v>
      </c>
      <c r="L45">
        <v>60</v>
      </c>
    </row>
    <row r="46" spans="1:12" x14ac:dyDescent="0.25">
      <c r="A46" t="s">
        <v>3</v>
      </c>
      <c r="B46" s="16">
        <v>30</v>
      </c>
      <c r="C46" s="16">
        <v>60</v>
      </c>
      <c r="D46" s="16">
        <v>10</v>
      </c>
      <c r="E46" s="16"/>
      <c r="F46" s="29"/>
      <c r="H46" t="s">
        <v>3</v>
      </c>
      <c r="I46">
        <v>180</v>
      </c>
      <c r="J46">
        <v>60</v>
      </c>
      <c r="K46">
        <v>100</v>
      </c>
    </row>
    <row r="47" spans="1:12" x14ac:dyDescent="0.25">
      <c r="A47" s="9" t="s">
        <v>10</v>
      </c>
      <c r="B47" s="31"/>
      <c r="C47" s="30"/>
      <c r="D47" s="30"/>
      <c r="F47" s="29"/>
    </row>
    <row r="49" spans="1:11" x14ac:dyDescent="0.25">
      <c r="F49" t="s">
        <v>4</v>
      </c>
      <c r="G49">
        <f>+SUMPRODUCT(I42:K45,B3:D6)</f>
        <v>1570</v>
      </c>
    </row>
    <row r="51" spans="1:11" s="3" customFormat="1" x14ac:dyDescent="0.25"/>
    <row r="52" spans="1:11" x14ac:dyDescent="0.25">
      <c r="A52" s="37" t="s">
        <v>15</v>
      </c>
    </row>
    <row r="53" spans="1:11" x14ac:dyDescent="0.25">
      <c r="A53" t="s">
        <v>5</v>
      </c>
      <c r="B53" s="27" t="s">
        <v>1</v>
      </c>
      <c r="C53" s="27"/>
      <c r="D53" s="27"/>
      <c r="H53" s="27" t="s">
        <v>1</v>
      </c>
      <c r="I53" s="27"/>
      <c r="J53" s="27"/>
    </row>
    <row r="54" spans="1:11" x14ac:dyDescent="0.25">
      <c r="A54" t="s">
        <v>0</v>
      </c>
      <c r="B54">
        <v>1</v>
      </c>
      <c r="C54">
        <v>2</v>
      </c>
      <c r="D54">
        <v>3</v>
      </c>
      <c r="E54" t="s">
        <v>2</v>
      </c>
      <c r="G54" t="s">
        <v>0</v>
      </c>
      <c r="H54">
        <v>1</v>
      </c>
      <c r="I54">
        <v>2</v>
      </c>
      <c r="J54">
        <v>3</v>
      </c>
      <c r="K54" t="s">
        <v>2</v>
      </c>
    </row>
    <row r="55" spans="1:11" x14ac:dyDescent="0.25">
      <c r="A55">
        <v>1</v>
      </c>
      <c r="B55" s="39"/>
      <c r="C55" s="39"/>
      <c r="D55" s="38">
        <v>90</v>
      </c>
      <c r="E55">
        <v>90</v>
      </c>
      <c r="G55">
        <v>1</v>
      </c>
      <c r="H55" s="17">
        <v>10</v>
      </c>
      <c r="I55" s="17">
        <v>8</v>
      </c>
      <c r="J55" s="17">
        <v>4</v>
      </c>
      <c r="K55" s="16">
        <v>90</v>
      </c>
    </row>
    <row r="56" spans="1:11" x14ac:dyDescent="0.25">
      <c r="A56">
        <v>2</v>
      </c>
      <c r="B56" s="38">
        <v>30</v>
      </c>
      <c r="C56" s="38">
        <v>60</v>
      </c>
      <c r="D56" s="38">
        <v>10</v>
      </c>
      <c r="E56">
        <v>100</v>
      </c>
      <c r="G56">
        <v>2</v>
      </c>
      <c r="H56" s="17">
        <v>9</v>
      </c>
      <c r="I56" s="17">
        <v>5</v>
      </c>
      <c r="J56" s="17">
        <v>7</v>
      </c>
      <c r="K56" s="16">
        <v>100</v>
      </c>
    </row>
    <row r="57" spans="1:11" x14ac:dyDescent="0.25">
      <c r="A57">
        <v>3</v>
      </c>
      <c r="B57" s="38">
        <v>90</v>
      </c>
      <c r="C57" s="39"/>
      <c r="D57" s="39"/>
      <c r="E57">
        <v>90</v>
      </c>
      <c r="G57">
        <v>3</v>
      </c>
      <c r="H57" s="17">
        <v>3</v>
      </c>
      <c r="I57" s="17">
        <v>6</v>
      </c>
      <c r="J57" s="17">
        <v>9</v>
      </c>
      <c r="K57" s="16">
        <v>90</v>
      </c>
    </row>
    <row r="58" spans="1:11" x14ac:dyDescent="0.25">
      <c r="A58">
        <v>4</v>
      </c>
      <c r="B58" s="38">
        <v>60</v>
      </c>
      <c r="C58" s="39"/>
      <c r="D58" s="39"/>
      <c r="E58">
        <v>60</v>
      </c>
      <c r="G58">
        <v>4</v>
      </c>
      <c r="H58" s="17">
        <v>5</v>
      </c>
      <c r="I58" s="17">
        <v>7</v>
      </c>
      <c r="J58" s="17">
        <v>6</v>
      </c>
      <c r="K58" s="16">
        <v>60</v>
      </c>
    </row>
    <row r="59" spans="1:11" x14ac:dyDescent="0.25">
      <c r="A59" t="s">
        <v>3</v>
      </c>
      <c r="B59">
        <v>180</v>
      </c>
      <c r="C59">
        <v>60</v>
      </c>
      <c r="D59">
        <v>100</v>
      </c>
      <c r="G59" t="s">
        <v>3</v>
      </c>
      <c r="H59" s="16">
        <v>180</v>
      </c>
      <c r="I59" s="16">
        <v>60</v>
      </c>
      <c r="J59" s="16">
        <v>100</v>
      </c>
      <c r="K59" s="16"/>
    </row>
    <row r="61" spans="1:11" x14ac:dyDescent="0.25">
      <c r="B61" t="s">
        <v>16</v>
      </c>
      <c r="C61">
        <f>4+3-1</f>
        <v>6</v>
      </c>
    </row>
    <row r="63" spans="1:11" x14ac:dyDescent="0.25">
      <c r="A63" s="40" t="s">
        <v>17</v>
      </c>
      <c r="B63" t="s">
        <v>19</v>
      </c>
      <c r="D63" s="29">
        <f>+H55-J55+J56-H56</f>
        <v>4</v>
      </c>
    </row>
    <row r="64" spans="1:11" x14ac:dyDescent="0.25">
      <c r="A64" t="s">
        <v>18</v>
      </c>
      <c r="B64" t="s">
        <v>20</v>
      </c>
      <c r="D64" s="29">
        <f>+I55-J55+J56-I56</f>
        <v>6</v>
      </c>
    </row>
    <row r="65" spans="1:4" x14ac:dyDescent="0.25">
      <c r="A65" t="s">
        <v>21</v>
      </c>
      <c r="B65" t="s">
        <v>22</v>
      </c>
      <c r="D65" s="29">
        <f>+I57-I56+H56-H57</f>
        <v>7</v>
      </c>
    </row>
    <row r="66" spans="1:4" x14ac:dyDescent="0.25">
      <c r="A66" t="s">
        <v>23</v>
      </c>
      <c r="B66" t="s">
        <v>24</v>
      </c>
      <c r="D66" s="29">
        <f>+I58-I56+H56-H58</f>
        <v>6</v>
      </c>
    </row>
    <row r="67" spans="1:4" x14ac:dyDescent="0.25">
      <c r="A67" t="s">
        <v>25</v>
      </c>
      <c r="B67" t="s">
        <v>26</v>
      </c>
      <c r="D67" s="29">
        <f>+J57-J56+H56-H57</f>
        <v>8</v>
      </c>
    </row>
    <row r="68" spans="1:4" x14ac:dyDescent="0.25">
      <c r="A68" t="s">
        <v>27</v>
      </c>
      <c r="B68" t="s">
        <v>28</v>
      </c>
      <c r="D68" s="29">
        <f>+J58-J56+H56-H58</f>
        <v>3</v>
      </c>
    </row>
  </sheetData>
  <mergeCells count="11">
    <mergeCell ref="B40:D40"/>
    <mergeCell ref="I40:K40"/>
    <mergeCell ref="B53:D53"/>
    <mergeCell ref="H53:J53"/>
    <mergeCell ref="B1:D1"/>
    <mergeCell ref="B10:D10"/>
    <mergeCell ref="I10:K10"/>
    <mergeCell ref="B20:D20"/>
    <mergeCell ref="I20:K20"/>
    <mergeCell ref="B30:D30"/>
    <mergeCell ref="I30:K3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B4FF-E36D-458C-B169-DE3A4F26CAEE}">
  <dimension ref="A1:K93"/>
  <sheetViews>
    <sheetView tabSelected="1" topLeftCell="A78" zoomScale="200" zoomScaleNormal="200" workbookViewId="0">
      <selection activeCell="D90" sqref="D90"/>
    </sheetView>
  </sheetViews>
  <sheetFormatPr baseColWidth="10" defaultRowHeight="15" x14ac:dyDescent="0.25"/>
  <sheetData>
    <row r="1" spans="1:11" x14ac:dyDescent="0.25">
      <c r="A1" s="16"/>
      <c r="B1" s="28" t="s">
        <v>1</v>
      </c>
      <c r="C1" s="28"/>
      <c r="D1" s="28"/>
      <c r="E1" s="16"/>
    </row>
    <row r="2" spans="1:11" x14ac:dyDescent="0.25">
      <c r="A2" s="16" t="s">
        <v>0</v>
      </c>
      <c r="B2" s="16">
        <v>1</v>
      </c>
      <c r="C2" s="16">
        <v>2</v>
      </c>
      <c r="D2" s="16">
        <v>3</v>
      </c>
      <c r="E2" s="16" t="s">
        <v>2</v>
      </c>
    </row>
    <row r="3" spans="1:11" x14ac:dyDescent="0.25">
      <c r="A3" s="16">
        <v>1</v>
      </c>
      <c r="B3" s="17">
        <v>19</v>
      </c>
      <c r="C3" s="17">
        <v>16</v>
      </c>
      <c r="D3" s="17">
        <v>11</v>
      </c>
      <c r="E3" s="18">
        <v>130</v>
      </c>
    </row>
    <row r="4" spans="1:11" x14ac:dyDescent="0.25">
      <c r="A4" s="16">
        <v>2</v>
      </c>
      <c r="B4" s="17">
        <v>11</v>
      </c>
      <c r="C4" s="17">
        <v>8</v>
      </c>
      <c r="D4" s="17">
        <v>6</v>
      </c>
      <c r="E4" s="18">
        <v>60</v>
      </c>
    </row>
    <row r="5" spans="1:11" x14ac:dyDescent="0.25">
      <c r="A5" s="16">
        <v>3</v>
      </c>
      <c r="B5" s="17">
        <v>13</v>
      </c>
      <c r="C5" s="17">
        <v>9</v>
      </c>
      <c r="D5" s="17">
        <v>18</v>
      </c>
      <c r="E5" s="18">
        <v>28</v>
      </c>
    </row>
    <row r="6" spans="1:11" x14ac:dyDescent="0.25">
      <c r="A6" s="16">
        <v>4</v>
      </c>
      <c r="B6" s="17">
        <v>17</v>
      </c>
      <c r="C6" s="4">
        <v>5</v>
      </c>
      <c r="D6" s="17">
        <v>15</v>
      </c>
      <c r="E6" s="18">
        <v>93</v>
      </c>
    </row>
    <row r="7" spans="1:11" x14ac:dyDescent="0.25">
      <c r="A7" s="16" t="s">
        <v>7</v>
      </c>
      <c r="B7" s="17">
        <v>50</v>
      </c>
      <c r="C7" s="17">
        <v>50</v>
      </c>
      <c r="D7" s="17">
        <v>50</v>
      </c>
      <c r="E7" s="18">
        <v>9</v>
      </c>
    </row>
    <row r="8" spans="1:11" x14ac:dyDescent="0.25">
      <c r="A8" s="16" t="s">
        <v>3</v>
      </c>
      <c r="B8" s="16">
        <v>90</v>
      </c>
      <c r="C8" s="16">
        <v>80</v>
      </c>
      <c r="D8" s="16">
        <v>150</v>
      </c>
    </row>
    <row r="9" spans="1:11" x14ac:dyDescent="0.25">
      <c r="C9" s="16"/>
    </row>
    <row r="10" spans="1:11" x14ac:dyDescent="0.25">
      <c r="A10" s="16"/>
      <c r="B10" s="28" t="s">
        <v>1</v>
      </c>
      <c r="C10" s="28"/>
      <c r="D10" s="28"/>
      <c r="E10" s="16"/>
      <c r="G10" s="16"/>
      <c r="H10" s="28" t="s">
        <v>1</v>
      </c>
      <c r="I10" s="28"/>
      <c r="J10" s="28"/>
      <c r="K10" s="16"/>
    </row>
    <row r="11" spans="1:11" x14ac:dyDescent="0.25">
      <c r="A11" s="16" t="s">
        <v>0</v>
      </c>
      <c r="B11" s="16">
        <v>1</v>
      </c>
      <c r="C11" s="3">
        <v>2</v>
      </c>
      <c r="D11" s="16">
        <v>3</v>
      </c>
      <c r="E11" s="16" t="s">
        <v>2</v>
      </c>
      <c r="G11" s="16" t="s">
        <v>0</v>
      </c>
      <c r="H11" s="16">
        <v>1</v>
      </c>
      <c r="I11" s="16">
        <v>2</v>
      </c>
      <c r="J11" s="16">
        <v>3</v>
      </c>
      <c r="K11" s="16" t="s">
        <v>2</v>
      </c>
    </row>
    <row r="12" spans="1:11" x14ac:dyDescent="0.25">
      <c r="A12" s="16">
        <v>1</v>
      </c>
      <c r="B12" s="17">
        <v>19</v>
      </c>
      <c r="C12" s="25">
        <v>16</v>
      </c>
      <c r="D12" s="17">
        <v>11</v>
      </c>
      <c r="E12" s="18">
        <v>130</v>
      </c>
      <c r="G12" s="16">
        <v>1</v>
      </c>
      <c r="H12" s="18"/>
      <c r="I12" s="18"/>
      <c r="J12" s="18"/>
      <c r="K12" s="18">
        <v>130</v>
      </c>
    </row>
    <row r="13" spans="1:11" x14ac:dyDescent="0.25">
      <c r="A13" s="16">
        <v>2</v>
      </c>
      <c r="B13" s="17">
        <v>11</v>
      </c>
      <c r="C13" s="25">
        <v>8</v>
      </c>
      <c r="D13" s="4">
        <v>6</v>
      </c>
      <c r="E13" s="18">
        <v>60</v>
      </c>
      <c r="G13" s="16">
        <v>2</v>
      </c>
      <c r="H13" s="18"/>
      <c r="I13" s="18"/>
      <c r="J13" s="18"/>
      <c r="K13" s="18">
        <v>60</v>
      </c>
    </row>
    <row r="14" spans="1:11" x14ac:dyDescent="0.25">
      <c r="A14" s="16">
        <v>3</v>
      </c>
      <c r="B14" s="17">
        <v>13</v>
      </c>
      <c r="C14" s="25">
        <v>9</v>
      </c>
      <c r="D14" s="17">
        <v>18</v>
      </c>
      <c r="E14" s="18">
        <v>28</v>
      </c>
      <c r="G14" s="16">
        <v>3</v>
      </c>
      <c r="H14" s="18"/>
      <c r="I14" s="18"/>
      <c r="J14" s="18"/>
      <c r="K14" s="18">
        <v>28</v>
      </c>
    </row>
    <row r="15" spans="1:11" x14ac:dyDescent="0.25">
      <c r="A15" s="16">
        <v>4</v>
      </c>
      <c r="B15" s="17">
        <v>17</v>
      </c>
      <c r="C15" s="25">
        <v>5</v>
      </c>
      <c r="D15" s="17">
        <v>15</v>
      </c>
      <c r="E15" s="18">
        <v>13</v>
      </c>
      <c r="G15" s="16">
        <v>4</v>
      </c>
      <c r="H15" s="18"/>
      <c r="I15" s="18">
        <v>80</v>
      </c>
      <c r="J15" s="18"/>
      <c r="K15" s="18">
        <v>93</v>
      </c>
    </row>
    <row r="16" spans="1:11" x14ac:dyDescent="0.25">
      <c r="A16" s="16" t="s">
        <v>7</v>
      </c>
      <c r="B16" s="17">
        <v>50</v>
      </c>
      <c r="C16" s="25">
        <v>50</v>
      </c>
      <c r="D16" s="17">
        <v>50</v>
      </c>
      <c r="E16" s="18">
        <v>9</v>
      </c>
      <c r="G16" s="16" t="s">
        <v>7</v>
      </c>
      <c r="H16" s="18"/>
      <c r="I16" s="18"/>
      <c r="J16" s="18"/>
      <c r="K16" s="18">
        <v>9</v>
      </c>
    </row>
    <row r="17" spans="1:11" x14ac:dyDescent="0.25">
      <c r="A17" s="16" t="s">
        <v>3</v>
      </c>
      <c r="B17" s="16">
        <v>90</v>
      </c>
      <c r="C17" s="3">
        <v>80</v>
      </c>
      <c r="D17" s="16">
        <v>150</v>
      </c>
      <c r="G17" s="16" t="s">
        <v>3</v>
      </c>
      <c r="H17" s="16">
        <v>90</v>
      </c>
      <c r="I17" s="16">
        <v>80</v>
      </c>
      <c r="J17" s="16">
        <v>150</v>
      </c>
    </row>
    <row r="19" spans="1:11" x14ac:dyDescent="0.25">
      <c r="A19" s="16"/>
      <c r="B19" s="28" t="s">
        <v>1</v>
      </c>
      <c r="C19" s="28"/>
      <c r="D19" s="28"/>
      <c r="E19" s="16"/>
      <c r="G19" s="16"/>
      <c r="H19" s="28" t="s">
        <v>1</v>
      </c>
      <c r="I19" s="28"/>
      <c r="J19" s="28"/>
      <c r="K19" s="16"/>
    </row>
    <row r="20" spans="1:11" x14ac:dyDescent="0.25">
      <c r="A20" s="16" t="s">
        <v>0</v>
      </c>
      <c r="B20" s="16">
        <v>1</v>
      </c>
      <c r="C20" s="3">
        <v>2</v>
      </c>
      <c r="D20" s="16">
        <v>3</v>
      </c>
      <c r="E20" s="16" t="s">
        <v>2</v>
      </c>
      <c r="G20" s="16" t="s">
        <v>0</v>
      </c>
      <c r="H20" s="16">
        <v>1</v>
      </c>
      <c r="I20" s="16">
        <v>2</v>
      </c>
      <c r="J20" s="16">
        <v>3</v>
      </c>
      <c r="K20" s="16" t="s">
        <v>2</v>
      </c>
    </row>
    <row r="21" spans="1:11" x14ac:dyDescent="0.25">
      <c r="A21" s="16">
        <v>1</v>
      </c>
      <c r="B21" s="17">
        <v>19</v>
      </c>
      <c r="C21" s="25">
        <v>16</v>
      </c>
      <c r="D21" s="4">
        <v>11</v>
      </c>
      <c r="E21" s="18">
        <v>130</v>
      </c>
      <c r="G21" s="16">
        <v>1</v>
      </c>
      <c r="H21" s="18"/>
      <c r="I21" s="18"/>
      <c r="J21" s="18"/>
      <c r="K21" s="18">
        <v>130</v>
      </c>
    </row>
    <row r="22" spans="1:11" x14ac:dyDescent="0.25">
      <c r="A22" s="3">
        <v>2</v>
      </c>
      <c r="B22" s="25">
        <v>11</v>
      </c>
      <c r="C22" s="25">
        <v>8</v>
      </c>
      <c r="D22" s="25">
        <v>6</v>
      </c>
      <c r="E22" s="26">
        <v>60</v>
      </c>
      <c r="G22" s="16">
        <v>2</v>
      </c>
      <c r="H22" s="18"/>
      <c r="I22" s="18"/>
      <c r="J22" s="18">
        <v>60</v>
      </c>
      <c r="K22" s="18">
        <v>60</v>
      </c>
    </row>
    <row r="23" spans="1:11" x14ac:dyDescent="0.25">
      <c r="A23" s="16">
        <v>3</v>
      </c>
      <c r="B23" s="17">
        <v>13</v>
      </c>
      <c r="C23" s="25">
        <v>9</v>
      </c>
      <c r="D23" s="17">
        <v>18</v>
      </c>
      <c r="E23" s="18">
        <v>28</v>
      </c>
      <c r="G23" s="16">
        <v>3</v>
      </c>
      <c r="H23" s="18"/>
      <c r="I23" s="18"/>
      <c r="J23" s="18"/>
      <c r="K23" s="18">
        <v>28</v>
      </c>
    </row>
    <row r="24" spans="1:11" x14ac:dyDescent="0.25">
      <c r="A24" s="16">
        <v>4</v>
      </c>
      <c r="B24" s="17">
        <v>17</v>
      </c>
      <c r="C24" s="25">
        <v>5</v>
      </c>
      <c r="D24" s="17">
        <v>15</v>
      </c>
      <c r="E24" s="18">
        <v>13</v>
      </c>
      <c r="G24" s="16">
        <v>4</v>
      </c>
      <c r="H24" s="18"/>
      <c r="I24" s="18">
        <v>80</v>
      </c>
      <c r="J24" s="18"/>
      <c r="K24" s="18">
        <v>93</v>
      </c>
    </row>
    <row r="25" spans="1:11" x14ac:dyDescent="0.25">
      <c r="A25" s="16" t="s">
        <v>7</v>
      </c>
      <c r="B25" s="17">
        <v>50</v>
      </c>
      <c r="C25" s="25">
        <v>50</v>
      </c>
      <c r="D25" s="17">
        <v>50</v>
      </c>
      <c r="E25" s="18">
        <v>9</v>
      </c>
      <c r="G25" s="16" t="s">
        <v>7</v>
      </c>
      <c r="H25" s="18"/>
      <c r="I25" s="18"/>
      <c r="J25" s="18"/>
      <c r="K25" s="18">
        <v>9</v>
      </c>
    </row>
    <row r="26" spans="1:11" x14ac:dyDescent="0.25">
      <c r="A26" s="16" t="s">
        <v>3</v>
      </c>
      <c r="B26" s="16">
        <v>90</v>
      </c>
      <c r="C26" s="3">
        <v>80</v>
      </c>
      <c r="D26" s="16">
        <v>90</v>
      </c>
      <c r="G26" s="16" t="s">
        <v>3</v>
      </c>
      <c r="H26" s="16">
        <v>90</v>
      </c>
      <c r="I26" s="16">
        <v>80</v>
      </c>
      <c r="J26" s="16">
        <v>150</v>
      </c>
    </row>
    <row r="28" spans="1:11" x14ac:dyDescent="0.25">
      <c r="A28" s="16"/>
      <c r="B28" s="28" t="s">
        <v>1</v>
      </c>
      <c r="C28" s="28"/>
      <c r="D28" s="28"/>
      <c r="E28" s="16"/>
      <c r="G28" s="16"/>
      <c r="H28" s="28" t="s">
        <v>1</v>
      </c>
      <c r="I28" s="28"/>
      <c r="J28" s="28"/>
      <c r="K28" s="16"/>
    </row>
    <row r="29" spans="1:11" x14ac:dyDescent="0.25">
      <c r="A29" s="16" t="s">
        <v>0</v>
      </c>
      <c r="B29" s="16">
        <v>1</v>
      </c>
      <c r="C29" s="3">
        <v>2</v>
      </c>
      <c r="D29" s="5">
        <v>3</v>
      </c>
      <c r="E29" s="16" t="s">
        <v>2</v>
      </c>
      <c r="G29" s="16" t="s">
        <v>0</v>
      </c>
      <c r="H29" s="16">
        <v>1</v>
      </c>
      <c r="I29" s="16">
        <v>2</v>
      </c>
      <c r="J29" s="16">
        <v>3</v>
      </c>
      <c r="K29" s="16" t="s">
        <v>2</v>
      </c>
    </row>
    <row r="30" spans="1:11" x14ac:dyDescent="0.25">
      <c r="A30" s="16">
        <v>1</v>
      </c>
      <c r="B30" s="17">
        <v>19</v>
      </c>
      <c r="C30" s="25">
        <v>16</v>
      </c>
      <c r="D30" s="25">
        <v>11</v>
      </c>
      <c r="E30" s="18">
        <v>40</v>
      </c>
      <c r="G30" s="16">
        <v>1</v>
      </c>
      <c r="H30" s="18"/>
      <c r="I30" s="18"/>
      <c r="J30" s="18">
        <v>90</v>
      </c>
      <c r="K30" s="18">
        <v>130</v>
      </c>
    </row>
    <row r="31" spans="1:11" x14ac:dyDescent="0.25">
      <c r="A31" s="3">
        <v>2</v>
      </c>
      <c r="B31" s="25">
        <v>11</v>
      </c>
      <c r="C31" s="25">
        <v>8</v>
      </c>
      <c r="D31" s="25">
        <v>6</v>
      </c>
      <c r="E31" s="26">
        <v>60</v>
      </c>
      <c r="G31" s="16">
        <v>2</v>
      </c>
      <c r="H31" s="18"/>
      <c r="I31" s="18"/>
      <c r="J31" s="18">
        <v>60</v>
      </c>
      <c r="K31" s="18">
        <v>60</v>
      </c>
    </row>
    <row r="32" spans="1:11" x14ac:dyDescent="0.25">
      <c r="A32" s="16">
        <v>3</v>
      </c>
      <c r="B32" s="17">
        <v>13</v>
      </c>
      <c r="C32" s="25">
        <v>9</v>
      </c>
      <c r="D32" s="25">
        <v>18</v>
      </c>
      <c r="E32" s="18">
        <v>28</v>
      </c>
      <c r="G32" s="16">
        <v>3</v>
      </c>
      <c r="H32" s="18"/>
      <c r="I32" s="18"/>
      <c r="J32" s="18"/>
      <c r="K32" s="18">
        <v>28</v>
      </c>
    </row>
    <row r="33" spans="1:11" x14ac:dyDescent="0.25">
      <c r="A33" s="16">
        <v>4</v>
      </c>
      <c r="B33" s="17">
        <v>17</v>
      </c>
      <c r="C33" s="25">
        <v>5</v>
      </c>
      <c r="D33" s="25">
        <v>15</v>
      </c>
      <c r="E33" s="18">
        <v>13</v>
      </c>
      <c r="G33" s="16">
        <v>4</v>
      </c>
      <c r="H33" s="18"/>
      <c r="I33" s="18">
        <v>80</v>
      </c>
      <c r="J33" s="18"/>
      <c r="K33" s="18">
        <v>93</v>
      </c>
    </row>
    <row r="34" spans="1:11" x14ac:dyDescent="0.25">
      <c r="A34" s="16" t="s">
        <v>7</v>
      </c>
      <c r="B34" s="17">
        <v>50</v>
      </c>
      <c r="C34" s="25">
        <v>50</v>
      </c>
      <c r="D34" s="25">
        <v>50</v>
      </c>
      <c r="E34" s="18">
        <v>9</v>
      </c>
      <c r="G34" s="16" t="s">
        <v>7</v>
      </c>
      <c r="H34" s="18"/>
      <c r="I34" s="18"/>
      <c r="J34" s="18"/>
      <c r="K34" s="18">
        <v>9</v>
      </c>
    </row>
    <row r="35" spans="1:11" x14ac:dyDescent="0.25">
      <c r="A35" s="16" t="s">
        <v>3</v>
      </c>
      <c r="B35" s="16">
        <v>90</v>
      </c>
      <c r="C35" s="3">
        <v>80</v>
      </c>
      <c r="D35" s="5">
        <v>90</v>
      </c>
      <c r="G35" s="16" t="s">
        <v>3</v>
      </c>
      <c r="H35" s="16">
        <v>90</v>
      </c>
      <c r="I35" s="16">
        <v>80</v>
      </c>
      <c r="J35" s="16">
        <v>150</v>
      </c>
    </row>
    <row r="37" spans="1:11" x14ac:dyDescent="0.25">
      <c r="A37" s="16"/>
      <c r="B37" s="28" t="s">
        <v>1</v>
      </c>
      <c r="C37" s="28"/>
      <c r="D37" s="28"/>
      <c r="E37" s="16"/>
      <c r="G37" s="16"/>
      <c r="H37" s="28" t="s">
        <v>1</v>
      </c>
      <c r="I37" s="28"/>
      <c r="J37" s="28"/>
      <c r="K37" s="16"/>
    </row>
    <row r="38" spans="1:11" x14ac:dyDescent="0.25">
      <c r="A38" s="16" t="s">
        <v>0</v>
      </c>
      <c r="B38" s="16">
        <v>1</v>
      </c>
      <c r="C38" s="3">
        <v>2</v>
      </c>
      <c r="D38" s="5">
        <v>3</v>
      </c>
      <c r="E38" s="16" t="s">
        <v>2</v>
      </c>
      <c r="G38" s="16" t="s">
        <v>0</v>
      </c>
      <c r="H38" s="16">
        <v>1</v>
      </c>
      <c r="I38" s="16">
        <v>2</v>
      </c>
      <c r="J38" s="16">
        <v>3</v>
      </c>
      <c r="K38" s="16" t="s">
        <v>2</v>
      </c>
    </row>
    <row r="39" spans="1:11" x14ac:dyDescent="0.25">
      <c r="A39" s="16">
        <v>1</v>
      </c>
      <c r="B39" s="17">
        <v>19</v>
      </c>
      <c r="C39" s="25">
        <v>16</v>
      </c>
      <c r="D39" s="25">
        <v>11</v>
      </c>
      <c r="E39" s="18">
        <v>40</v>
      </c>
      <c r="G39" s="16">
        <v>1</v>
      </c>
      <c r="H39" s="18">
        <v>40</v>
      </c>
      <c r="I39" s="18"/>
      <c r="J39" s="18">
        <v>90</v>
      </c>
      <c r="K39" s="18">
        <v>130</v>
      </c>
    </row>
    <row r="40" spans="1:11" x14ac:dyDescent="0.25">
      <c r="A40" s="3">
        <v>2</v>
      </c>
      <c r="B40" s="25">
        <v>11</v>
      </c>
      <c r="C40" s="25">
        <v>8</v>
      </c>
      <c r="D40" s="25">
        <v>6</v>
      </c>
      <c r="E40" s="26">
        <v>60</v>
      </c>
      <c r="G40" s="16">
        <v>2</v>
      </c>
      <c r="H40" s="18"/>
      <c r="I40" s="18"/>
      <c r="J40" s="18">
        <v>60</v>
      </c>
      <c r="K40" s="18">
        <v>60</v>
      </c>
    </row>
    <row r="41" spans="1:11" x14ac:dyDescent="0.25">
      <c r="A41" s="16">
        <v>3</v>
      </c>
      <c r="B41" s="17">
        <v>13</v>
      </c>
      <c r="C41" s="25">
        <v>9</v>
      </c>
      <c r="D41" s="25">
        <v>18</v>
      </c>
      <c r="E41" s="18">
        <v>28</v>
      </c>
      <c r="G41" s="16">
        <v>3</v>
      </c>
      <c r="H41" s="18">
        <v>28</v>
      </c>
      <c r="I41" s="18"/>
      <c r="J41" s="18"/>
      <c r="K41" s="18">
        <v>28</v>
      </c>
    </row>
    <row r="42" spans="1:11" x14ac:dyDescent="0.25">
      <c r="A42" s="16">
        <v>4</v>
      </c>
      <c r="B42" s="17">
        <v>17</v>
      </c>
      <c r="C42" s="25">
        <v>5</v>
      </c>
      <c r="D42" s="25">
        <v>15</v>
      </c>
      <c r="E42" s="18">
        <v>13</v>
      </c>
      <c r="G42" s="16">
        <v>4</v>
      </c>
      <c r="H42" s="18">
        <v>13</v>
      </c>
      <c r="I42" s="18">
        <v>80</v>
      </c>
      <c r="J42" s="18"/>
      <c r="K42" s="18">
        <v>93</v>
      </c>
    </row>
    <row r="43" spans="1:11" x14ac:dyDescent="0.25">
      <c r="A43" s="16" t="s">
        <v>7</v>
      </c>
      <c r="B43" s="17">
        <v>50</v>
      </c>
      <c r="C43" s="25">
        <v>50</v>
      </c>
      <c r="D43" s="25">
        <v>50</v>
      </c>
      <c r="E43" s="18">
        <v>9</v>
      </c>
      <c r="G43" s="16" t="s">
        <v>7</v>
      </c>
      <c r="H43" s="18">
        <v>9</v>
      </c>
      <c r="I43" s="18"/>
      <c r="J43" s="18"/>
      <c r="K43" s="18">
        <v>9</v>
      </c>
    </row>
    <row r="44" spans="1:11" x14ac:dyDescent="0.25">
      <c r="A44" s="16" t="s">
        <v>3</v>
      </c>
      <c r="B44" s="16">
        <v>90</v>
      </c>
      <c r="C44" s="3">
        <v>80</v>
      </c>
      <c r="D44" s="5">
        <v>90</v>
      </c>
      <c r="G44" s="16" t="s">
        <v>3</v>
      </c>
      <c r="H44" s="16">
        <v>90</v>
      </c>
      <c r="I44" s="16">
        <v>80</v>
      </c>
      <c r="J44" s="16">
        <v>150</v>
      </c>
    </row>
    <row r="45" spans="1:11" x14ac:dyDescent="0.25">
      <c r="H45" s="16">
        <v>81</v>
      </c>
    </row>
    <row r="46" spans="1:11" x14ac:dyDescent="0.25">
      <c r="E46" t="s">
        <v>8</v>
      </c>
      <c r="F46">
        <f>+SUMPRODUCT(H39:J42,B3:D6)</f>
        <v>3095</v>
      </c>
    </row>
    <row r="48" spans="1:11" s="3" customFormat="1" x14ac:dyDescent="0.25"/>
    <row r="50" spans="1:11" x14ac:dyDescent="0.25">
      <c r="A50" s="16"/>
      <c r="B50" s="28" t="s">
        <v>1</v>
      </c>
      <c r="C50" s="28"/>
      <c r="D50" s="28"/>
      <c r="E50" s="16"/>
      <c r="G50" s="16"/>
      <c r="H50" s="28" t="s">
        <v>1</v>
      </c>
      <c r="I50" s="28"/>
      <c r="J50" s="28"/>
      <c r="K50" s="16"/>
    </row>
    <row r="51" spans="1:11" x14ac:dyDescent="0.25">
      <c r="A51" s="16" t="s">
        <v>0</v>
      </c>
      <c r="B51" s="16">
        <v>1</v>
      </c>
      <c r="C51" s="16">
        <v>2</v>
      </c>
      <c r="D51" s="16">
        <v>3</v>
      </c>
      <c r="E51" s="16" t="s">
        <v>2</v>
      </c>
      <c r="G51" s="16" t="s">
        <v>0</v>
      </c>
      <c r="H51" s="16">
        <v>1</v>
      </c>
      <c r="I51" s="16">
        <v>2</v>
      </c>
      <c r="J51" s="16">
        <v>3</v>
      </c>
      <c r="K51" s="16" t="s">
        <v>2</v>
      </c>
    </row>
    <row r="52" spans="1:11" x14ac:dyDescent="0.25">
      <c r="A52" s="16">
        <v>1</v>
      </c>
      <c r="B52" s="41">
        <v>40</v>
      </c>
      <c r="C52" s="42"/>
      <c r="D52" s="41">
        <v>90</v>
      </c>
      <c r="E52" s="18">
        <v>130</v>
      </c>
      <c r="G52" s="16">
        <v>1</v>
      </c>
      <c r="H52" s="17">
        <v>19</v>
      </c>
      <c r="I52" s="17">
        <v>16</v>
      </c>
      <c r="J52" s="17">
        <v>11</v>
      </c>
      <c r="K52" s="18">
        <v>130</v>
      </c>
    </row>
    <row r="53" spans="1:11" x14ac:dyDescent="0.25">
      <c r="A53" s="16">
        <v>2</v>
      </c>
      <c r="B53" s="42"/>
      <c r="C53" s="41">
        <v>0</v>
      </c>
      <c r="D53" s="41">
        <v>60</v>
      </c>
      <c r="E53" s="18">
        <v>60</v>
      </c>
      <c r="G53" s="16">
        <v>2</v>
      </c>
      <c r="H53" s="17">
        <v>11</v>
      </c>
      <c r="I53" s="17">
        <v>8</v>
      </c>
      <c r="J53" s="17">
        <v>6</v>
      </c>
      <c r="K53" s="18">
        <v>60</v>
      </c>
    </row>
    <row r="54" spans="1:11" x14ac:dyDescent="0.25">
      <c r="A54" s="16">
        <v>3</v>
      </c>
      <c r="B54" s="41">
        <v>28</v>
      </c>
      <c r="C54" s="42"/>
      <c r="D54" s="42"/>
      <c r="E54" s="18">
        <v>28</v>
      </c>
      <c r="G54" s="16">
        <v>3</v>
      </c>
      <c r="H54" s="17">
        <v>13</v>
      </c>
      <c r="I54" s="17">
        <v>9</v>
      </c>
      <c r="J54" s="17">
        <v>18</v>
      </c>
      <c r="K54" s="18">
        <v>28</v>
      </c>
    </row>
    <row r="55" spans="1:11" x14ac:dyDescent="0.25">
      <c r="A55" s="16">
        <v>4</v>
      </c>
      <c r="B55" s="41">
        <v>13</v>
      </c>
      <c r="C55" s="41">
        <v>80</v>
      </c>
      <c r="D55" s="42"/>
      <c r="E55" s="18">
        <v>93</v>
      </c>
      <c r="G55" s="16">
        <v>4</v>
      </c>
      <c r="H55" s="17">
        <v>17</v>
      </c>
      <c r="I55" s="17">
        <v>5</v>
      </c>
      <c r="J55" s="17">
        <v>15</v>
      </c>
      <c r="K55" s="18">
        <v>93</v>
      </c>
    </row>
    <row r="56" spans="1:11" x14ac:dyDescent="0.25">
      <c r="A56" s="16" t="s">
        <v>7</v>
      </c>
      <c r="B56" s="41">
        <v>9</v>
      </c>
      <c r="C56" s="42"/>
      <c r="D56" s="42"/>
      <c r="E56" s="18">
        <v>9</v>
      </c>
      <c r="G56" s="16" t="s">
        <v>7</v>
      </c>
      <c r="H56" s="17">
        <v>50</v>
      </c>
      <c r="I56" s="17">
        <v>50</v>
      </c>
      <c r="J56" s="17">
        <v>50</v>
      </c>
      <c r="K56" s="18">
        <v>9</v>
      </c>
    </row>
    <row r="57" spans="1:11" x14ac:dyDescent="0.25">
      <c r="A57" s="16" t="s">
        <v>3</v>
      </c>
      <c r="B57" s="16">
        <v>90</v>
      </c>
      <c r="C57" s="16">
        <v>80</v>
      </c>
      <c r="D57" s="16">
        <v>150</v>
      </c>
      <c r="G57" s="16" t="s">
        <v>3</v>
      </c>
      <c r="H57" s="16">
        <v>90</v>
      </c>
      <c r="I57" s="16">
        <v>80</v>
      </c>
      <c r="J57" s="16">
        <v>150</v>
      </c>
    </row>
    <row r="59" spans="1:11" x14ac:dyDescent="0.25">
      <c r="B59">
        <f>5+3-1</f>
        <v>7</v>
      </c>
    </row>
    <row r="61" spans="1:11" x14ac:dyDescent="0.25">
      <c r="A61" t="s">
        <v>29</v>
      </c>
      <c r="B61" t="s">
        <v>38</v>
      </c>
      <c r="D61" s="29">
        <f>+H53-H52+J52-J53</f>
        <v>-3</v>
      </c>
    </row>
    <row r="62" spans="1:11" x14ac:dyDescent="0.25">
      <c r="A62" t="s">
        <v>18</v>
      </c>
      <c r="B62" t="s">
        <v>30</v>
      </c>
      <c r="D62" s="29">
        <f>+I52-H52+H55-I55</f>
        <v>9</v>
      </c>
    </row>
    <row r="63" spans="1:11" x14ac:dyDescent="0.25">
      <c r="A63" t="s">
        <v>21</v>
      </c>
      <c r="B63" t="s">
        <v>31</v>
      </c>
      <c r="D63" s="29">
        <f>+I54-I55+H55-H54</f>
        <v>8</v>
      </c>
    </row>
    <row r="64" spans="1:11" x14ac:dyDescent="0.25">
      <c r="A64" t="s">
        <v>32</v>
      </c>
      <c r="B64" t="s">
        <v>33</v>
      </c>
      <c r="D64" s="29">
        <f>+I56-I55+H55-H56</f>
        <v>12</v>
      </c>
    </row>
    <row r="65" spans="1:11" x14ac:dyDescent="0.25">
      <c r="A65" t="s">
        <v>25</v>
      </c>
      <c r="B65" t="s">
        <v>34</v>
      </c>
      <c r="D65" s="29">
        <f>+J54-J52+H52-H54</f>
        <v>13</v>
      </c>
    </row>
    <row r="66" spans="1:11" x14ac:dyDescent="0.25">
      <c r="A66" t="s">
        <v>27</v>
      </c>
      <c r="B66" t="s">
        <v>35</v>
      </c>
      <c r="D66" s="29">
        <f>+J55-J52+H52-H55</f>
        <v>6</v>
      </c>
    </row>
    <row r="67" spans="1:11" x14ac:dyDescent="0.25">
      <c r="A67" t="s">
        <v>36</v>
      </c>
      <c r="B67" t="s">
        <v>37</v>
      </c>
      <c r="D67" s="29">
        <f>+J56-J52+H52-H56</f>
        <v>8</v>
      </c>
    </row>
    <row r="69" spans="1:11" x14ac:dyDescent="0.25">
      <c r="A69" s="16"/>
      <c r="B69" s="28" t="s">
        <v>1</v>
      </c>
      <c r="C69" s="28"/>
      <c r="D69" s="28"/>
      <c r="E69" s="16"/>
      <c r="G69" s="16"/>
      <c r="H69" s="28" t="s">
        <v>1</v>
      </c>
      <c r="I69" s="28"/>
      <c r="J69" s="28"/>
      <c r="K69" s="16"/>
    </row>
    <row r="70" spans="1:11" x14ac:dyDescent="0.25">
      <c r="A70" s="16" t="s">
        <v>0</v>
      </c>
      <c r="B70" s="16">
        <v>1</v>
      </c>
      <c r="C70" s="16">
        <v>2</v>
      </c>
      <c r="D70" s="16">
        <v>3</v>
      </c>
      <c r="E70" s="16" t="s">
        <v>2</v>
      </c>
      <c r="G70" s="16" t="s">
        <v>0</v>
      </c>
      <c r="H70" s="16">
        <v>1</v>
      </c>
      <c r="I70" s="16">
        <v>2</v>
      </c>
      <c r="J70" s="16">
        <v>3</v>
      </c>
      <c r="K70" s="16" t="s">
        <v>2</v>
      </c>
    </row>
    <row r="71" spans="1:11" x14ac:dyDescent="0.25">
      <c r="A71" s="16">
        <v>1</v>
      </c>
      <c r="B71" s="43">
        <v>40</v>
      </c>
      <c r="C71" s="42"/>
      <c r="D71" s="43">
        <v>90</v>
      </c>
      <c r="E71" s="18">
        <v>130</v>
      </c>
      <c r="G71" s="16">
        <v>1</v>
      </c>
      <c r="H71" s="10">
        <v>19</v>
      </c>
      <c r="I71" s="17">
        <v>16</v>
      </c>
      <c r="J71" s="10">
        <v>11</v>
      </c>
      <c r="K71" s="18">
        <v>130</v>
      </c>
    </row>
    <row r="72" spans="1:11" x14ac:dyDescent="0.25">
      <c r="A72" s="16">
        <v>2</v>
      </c>
      <c r="B72" s="43"/>
      <c r="C72" s="41">
        <v>0</v>
      </c>
      <c r="D72" s="43">
        <v>60</v>
      </c>
      <c r="E72" s="18">
        <v>60</v>
      </c>
      <c r="G72" s="16">
        <v>2</v>
      </c>
      <c r="H72" s="10">
        <v>11</v>
      </c>
      <c r="I72" s="17">
        <v>8</v>
      </c>
      <c r="J72" s="10">
        <v>6</v>
      </c>
      <c r="K72" s="18">
        <v>60</v>
      </c>
    </row>
    <row r="73" spans="1:11" x14ac:dyDescent="0.25">
      <c r="A73" s="16">
        <v>3</v>
      </c>
      <c r="B73" s="41">
        <v>28</v>
      </c>
      <c r="C73" s="42"/>
      <c r="D73" s="42"/>
      <c r="E73" s="18">
        <v>28</v>
      </c>
      <c r="G73" s="16">
        <v>3</v>
      </c>
      <c r="H73" s="17">
        <v>13</v>
      </c>
      <c r="I73" s="17">
        <v>9</v>
      </c>
      <c r="J73" s="17">
        <v>18</v>
      </c>
      <c r="K73" s="18">
        <v>28</v>
      </c>
    </row>
    <row r="74" spans="1:11" x14ac:dyDescent="0.25">
      <c r="A74" s="16">
        <v>4</v>
      </c>
      <c r="B74" s="41">
        <v>13</v>
      </c>
      <c r="C74" s="41">
        <v>80</v>
      </c>
      <c r="D74" s="42"/>
      <c r="E74" s="18">
        <v>93</v>
      </c>
      <c r="G74" s="16">
        <v>4</v>
      </c>
      <c r="H74" s="17">
        <v>17</v>
      </c>
      <c r="I74" s="17">
        <v>5</v>
      </c>
      <c r="J74" s="17">
        <v>15</v>
      </c>
      <c r="K74" s="18">
        <v>93</v>
      </c>
    </row>
    <row r="75" spans="1:11" x14ac:dyDescent="0.25">
      <c r="A75" s="16" t="s">
        <v>7</v>
      </c>
      <c r="B75" s="41">
        <v>9</v>
      </c>
      <c r="C75" s="42"/>
      <c r="D75" s="42"/>
      <c r="E75" s="18">
        <v>9</v>
      </c>
      <c r="G75" s="16" t="s">
        <v>7</v>
      </c>
      <c r="H75" s="17">
        <v>50</v>
      </c>
      <c r="I75" s="17">
        <v>50</v>
      </c>
      <c r="J75" s="17">
        <v>50</v>
      </c>
      <c r="K75" s="18">
        <v>9</v>
      </c>
    </row>
    <row r="76" spans="1:11" x14ac:dyDescent="0.25">
      <c r="A76" s="16" t="s">
        <v>3</v>
      </c>
      <c r="B76" s="16">
        <v>90</v>
      </c>
      <c r="C76" s="16">
        <v>80</v>
      </c>
      <c r="D76" s="16">
        <v>150</v>
      </c>
      <c r="G76" s="16" t="s">
        <v>3</v>
      </c>
      <c r="H76" s="16">
        <v>90</v>
      </c>
      <c r="I76" s="16">
        <v>80</v>
      </c>
      <c r="J76" s="16">
        <v>150</v>
      </c>
    </row>
    <row r="78" spans="1:11" x14ac:dyDescent="0.25">
      <c r="A78" s="16" t="s">
        <v>0</v>
      </c>
      <c r="B78" s="16">
        <v>1</v>
      </c>
      <c r="C78" s="16">
        <v>2</v>
      </c>
      <c r="D78" s="16">
        <v>3</v>
      </c>
      <c r="E78" s="16" t="s">
        <v>2</v>
      </c>
    </row>
    <row r="79" spans="1:11" x14ac:dyDescent="0.25">
      <c r="A79" s="16">
        <v>1</v>
      </c>
      <c r="B79" s="43">
        <v>0</v>
      </c>
      <c r="C79" s="42"/>
      <c r="D79" s="43">
        <v>130</v>
      </c>
      <c r="E79" s="18">
        <v>130</v>
      </c>
    </row>
    <row r="80" spans="1:11" x14ac:dyDescent="0.25">
      <c r="A80" s="16">
        <v>2</v>
      </c>
      <c r="B80" s="43">
        <v>40</v>
      </c>
      <c r="C80" s="41">
        <v>0</v>
      </c>
      <c r="D80" s="43">
        <v>20</v>
      </c>
      <c r="E80" s="18">
        <v>60</v>
      </c>
    </row>
    <row r="81" spans="1:5" x14ac:dyDescent="0.25">
      <c r="A81" s="16">
        <v>3</v>
      </c>
      <c r="B81" s="41">
        <v>28</v>
      </c>
      <c r="C81" s="42"/>
      <c r="D81" s="42"/>
      <c r="E81" s="18">
        <v>28</v>
      </c>
    </row>
    <row r="82" spans="1:5" x14ac:dyDescent="0.25">
      <c r="A82" s="16">
        <v>4</v>
      </c>
      <c r="B82" s="41">
        <v>13</v>
      </c>
      <c r="C82" s="41">
        <v>80</v>
      </c>
      <c r="D82" s="42"/>
      <c r="E82" s="18">
        <v>93</v>
      </c>
    </row>
    <row r="83" spans="1:5" x14ac:dyDescent="0.25">
      <c r="A83" s="16" t="s">
        <v>7</v>
      </c>
      <c r="B83" s="41">
        <v>9</v>
      </c>
      <c r="C83" s="42"/>
      <c r="D83" s="42"/>
      <c r="E83" s="18">
        <v>9</v>
      </c>
    </row>
    <row r="84" spans="1:5" x14ac:dyDescent="0.25">
      <c r="A84" s="16" t="s">
        <v>3</v>
      </c>
      <c r="B84" s="16">
        <v>90</v>
      </c>
      <c r="C84" s="16">
        <v>80</v>
      </c>
      <c r="D84" s="16">
        <v>150</v>
      </c>
    </row>
    <row r="87" spans="1:5" x14ac:dyDescent="0.25">
      <c r="A87" s="16" t="s">
        <v>0</v>
      </c>
      <c r="B87" s="16">
        <v>1</v>
      </c>
      <c r="C87" s="16">
        <v>2</v>
      </c>
      <c r="D87" s="16">
        <v>3</v>
      </c>
      <c r="E87" s="16" t="s">
        <v>2</v>
      </c>
    </row>
    <row r="88" spans="1:5" x14ac:dyDescent="0.25">
      <c r="A88" s="16">
        <v>1</v>
      </c>
      <c r="B88" s="42"/>
      <c r="C88" s="42"/>
      <c r="D88" s="41">
        <v>130</v>
      </c>
      <c r="E88" s="18">
        <v>130</v>
      </c>
    </row>
    <row r="89" spans="1:5" x14ac:dyDescent="0.25">
      <c r="A89" s="16">
        <v>2</v>
      </c>
      <c r="B89" s="41">
        <v>40</v>
      </c>
      <c r="C89" s="41">
        <v>0</v>
      </c>
      <c r="D89" s="41">
        <v>20</v>
      </c>
      <c r="E89" s="18">
        <v>60</v>
      </c>
    </row>
    <row r="90" spans="1:5" x14ac:dyDescent="0.25">
      <c r="A90" s="16">
        <v>3</v>
      </c>
      <c r="B90" s="41">
        <v>28</v>
      </c>
      <c r="C90" s="42"/>
      <c r="D90" s="42"/>
      <c r="E90" s="18">
        <v>28</v>
      </c>
    </row>
    <row r="91" spans="1:5" x14ac:dyDescent="0.25">
      <c r="A91" s="16">
        <v>4</v>
      </c>
      <c r="B91" s="41">
        <v>13</v>
      </c>
      <c r="C91" s="41">
        <v>80</v>
      </c>
      <c r="D91" s="42"/>
      <c r="E91" s="18">
        <v>93</v>
      </c>
    </row>
    <row r="92" spans="1:5" x14ac:dyDescent="0.25">
      <c r="A92" s="16" t="s">
        <v>7</v>
      </c>
      <c r="B92" s="41">
        <v>9</v>
      </c>
      <c r="C92" s="42"/>
      <c r="D92" s="42"/>
      <c r="E92" s="18">
        <v>9</v>
      </c>
    </row>
    <row r="93" spans="1:5" x14ac:dyDescent="0.25">
      <c r="A93" s="16" t="s">
        <v>3</v>
      </c>
      <c r="B93" s="16">
        <v>90</v>
      </c>
      <c r="C93" s="16">
        <v>80</v>
      </c>
      <c r="D93" s="16">
        <v>150</v>
      </c>
    </row>
  </sheetData>
  <mergeCells count="13">
    <mergeCell ref="B37:D37"/>
    <mergeCell ref="H37:J37"/>
    <mergeCell ref="B50:D50"/>
    <mergeCell ref="H50:J50"/>
    <mergeCell ref="B69:D69"/>
    <mergeCell ref="H69:J69"/>
    <mergeCell ref="B1:D1"/>
    <mergeCell ref="B10:D10"/>
    <mergeCell ref="H10:J10"/>
    <mergeCell ref="B19:D19"/>
    <mergeCell ref="H19:J19"/>
    <mergeCell ref="B28:D28"/>
    <mergeCell ref="H28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ESQ NOROESTE</vt:lpstr>
      <vt:lpstr>ESQ NOROESTE 2</vt:lpstr>
      <vt:lpstr>COSTO MIN</vt:lpstr>
      <vt:lpstr>COSTO MIN 2</vt:lpstr>
      <vt:lpstr>VOGEL</vt:lpstr>
      <vt:lpstr>VOGEL 2</vt:lpstr>
      <vt:lpstr>PIEDRA EN PIEDRA</vt:lpstr>
      <vt:lpstr>PIEDRA EN PIEDRA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2025-11-19T20:02:54Z</dcterms:created>
  <dcterms:modified xsi:type="dcterms:W3CDTF">2025-11-24T20:53:05Z</dcterms:modified>
</cp:coreProperties>
</file>