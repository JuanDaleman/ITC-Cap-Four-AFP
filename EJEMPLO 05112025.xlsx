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8_{E84A6A6E-9080-40C1-AC4B-AB6301171864}" xr6:coauthVersionLast="47" xr6:coauthVersionMax="47" xr10:uidLastSave="{00000000-0000-0000-0000-000000000000}"/>
  <bookViews>
    <workbookView xWindow="4980" yWindow="3450" windowWidth="21600" windowHeight="11295" firstSheet="3" activeTab="3" xr2:uid="{EDB0BEE9-400B-4535-B107-5AF4BB45A8F7}"/>
  </bookViews>
  <sheets>
    <sheet name="Informe de respuestas 1" sheetId="2" r:id="rId1"/>
    <sheet name="Informe de sensibilidad 1" sheetId="3" r:id="rId2"/>
    <sheet name="Informe de respuestas 3" sheetId="12" r:id="rId3"/>
    <sheet name="Informe de sensibilidad 3" sheetId="13" r:id="rId4"/>
    <sheet name="Informe de límites 3" sheetId="14" r:id="rId5"/>
    <sheet name="Informe de respuestas 4" sheetId="15" r:id="rId6"/>
    <sheet name="Informe de sensibilidad 4" sheetId="16" r:id="rId7"/>
    <sheet name="Informe de límites 4" sheetId="17" r:id="rId8"/>
    <sheet name="Hoja11" sheetId="11" r:id="rId9"/>
    <sheet name="Informe de límites 1" sheetId="4" r:id="rId10"/>
    <sheet name="Informe de respuestas 2" sheetId="8" r:id="rId11"/>
    <sheet name="Informe de sensibilidad 2" sheetId="9" r:id="rId12"/>
    <sheet name="Informe de límites 2" sheetId="10" r:id="rId13"/>
    <sheet name="Hoja1" sheetId="1" r:id="rId14"/>
  </sheets>
  <definedNames>
    <definedName name="solver_adj" localSheetId="13" hidden="1">Hoja1!$I$3:$J$3</definedName>
    <definedName name="solver_adj" localSheetId="8" hidden="1">Hoja11!$H$12:$J$12</definedName>
    <definedName name="solver_cvg" localSheetId="13" hidden="1">0.0001</definedName>
    <definedName name="solver_cvg" localSheetId="8" hidden="1">0.0001</definedName>
    <definedName name="solver_drv" localSheetId="13" hidden="1">1</definedName>
    <definedName name="solver_drv" localSheetId="8" hidden="1">1</definedName>
    <definedName name="solver_eng" localSheetId="13" hidden="1">2</definedName>
    <definedName name="solver_eng" localSheetId="8" hidden="1">2</definedName>
    <definedName name="solver_est" localSheetId="13" hidden="1">1</definedName>
    <definedName name="solver_est" localSheetId="8" hidden="1">1</definedName>
    <definedName name="solver_itr" localSheetId="13" hidden="1">2147483647</definedName>
    <definedName name="solver_itr" localSheetId="8" hidden="1">2147483647</definedName>
    <definedName name="solver_lhs1" localSheetId="13" hidden="1">Hoja1!$K$5:$K$6</definedName>
    <definedName name="solver_lhs1" localSheetId="8" hidden="1">Hoja11!$K$14:$K$16</definedName>
    <definedName name="solver_lhs2" localSheetId="13" hidden="1">Hoja1!$K$7</definedName>
    <definedName name="solver_lhs3" localSheetId="13" hidden="1">Hoja1!$K$8</definedName>
    <definedName name="solver_mip" localSheetId="13" hidden="1">2147483647</definedName>
    <definedName name="solver_mip" localSheetId="8" hidden="1">2147483647</definedName>
    <definedName name="solver_mni" localSheetId="13" hidden="1">30</definedName>
    <definedName name="solver_mni" localSheetId="8" hidden="1">30</definedName>
    <definedName name="solver_mrt" localSheetId="13" hidden="1">0.075</definedName>
    <definedName name="solver_mrt" localSheetId="8" hidden="1">0.075</definedName>
    <definedName name="solver_msl" localSheetId="13" hidden="1">2</definedName>
    <definedName name="solver_msl" localSheetId="8" hidden="1">2</definedName>
    <definedName name="solver_neg" localSheetId="13" hidden="1">1</definedName>
    <definedName name="solver_neg" localSheetId="8" hidden="1">1</definedName>
    <definedName name="solver_nod" localSheetId="13" hidden="1">2147483647</definedName>
    <definedName name="solver_nod" localSheetId="8" hidden="1">2147483647</definedName>
    <definedName name="solver_num" localSheetId="13" hidden="1">3</definedName>
    <definedName name="solver_num" localSheetId="8" hidden="1">1</definedName>
    <definedName name="solver_nwt" localSheetId="13" hidden="1">1</definedName>
    <definedName name="solver_nwt" localSheetId="8" hidden="1">1</definedName>
    <definedName name="solver_opt" localSheetId="13" hidden="1">Hoja1!$K$4</definedName>
    <definedName name="solver_opt" localSheetId="8" hidden="1">Hoja11!$K$13</definedName>
    <definedName name="solver_pre" localSheetId="13" hidden="1">0.000001</definedName>
    <definedName name="solver_pre" localSheetId="8" hidden="1">0.000001</definedName>
    <definedName name="solver_rbv" localSheetId="13" hidden="1">1</definedName>
    <definedName name="solver_rbv" localSheetId="8" hidden="1">1</definedName>
    <definedName name="solver_rel1" localSheetId="13" hidden="1">1</definedName>
    <definedName name="solver_rel1" localSheetId="8" hidden="1">1</definedName>
    <definedName name="solver_rel2" localSheetId="13" hidden="1">2</definedName>
    <definedName name="solver_rel3" localSheetId="13" hidden="1">1</definedName>
    <definedName name="solver_rhs1" localSheetId="13" hidden="1">Hoja1!$M$5:$M$6</definedName>
    <definedName name="solver_rhs1" localSheetId="8" hidden="1">Hoja11!$M$14:$M$16</definedName>
    <definedName name="solver_rhs2" localSheetId="13" hidden="1">Hoja1!$M$7</definedName>
    <definedName name="solver_rhs3" localSheetId="13" hidden="1">Hoja1!$M$8</definedName>
    <definedName name="solver_rlx" localSheetId="13" hidden="1">2</definedName>
    <definedName name="solver_rlx" localSheetId="8" hidden="1">2</definedName>
    <definedName name="solver_rsd" localSheetId="13" hidden="1">0</definedName>
    <definedName name="solver_rsd" localSheetId="8" hidden="1">0</definedName>
    <definedName name="solver_scl" localSheetId="13" hidden="1">1</definedName>
    <definedName name="solver_scl" localSheetId="8" hidden="1">1</definedName>
    <definedName name="solver_sho" localSheetId="13" hidden="1">2</definedName>
    <definedName name="solver_sho" localSheetId="8" hidden="1">2</definedName>
    <definedName name="solver_sho" localSheetId="9" hidden="1">2</definedName>
    <definedName name="solver_sho" localSheetId="12" hidden="1">2</definedName>
    <definedName name="solver_sho" localSheetId="4" hidden="1">2</definedName>
    <definedName name="solver_sho" localSheetId="7" hidden="1">2</definedName>
    <definedName name="solver_ssz" localSheetId="13" hidden="1">100</definedName>
    <definedName name="solver_ssz" localSheetId="8" hidden="1">100</definedName>
    <definedName name="solver_tim" localSheetId="13" hidden="1">2147483647</definedName>
    <definedName name="solver_tim" localSheetId="8" hidden="1">2147483647</definedName>
    <definedName name="solver_tol" localSheetId="13" hidden="1">0.01</definedName>
    <definedName name="solver_tol" localSheetId="8" hidden="1">0.01</definedName>
    <definedName name="solver_typ" localSheetId="13" hidden="1">2</definedName>
    <definedName name="solver_typ" localSheetId="8" hidden="1">1</definedName>
    <definedName name="solver_val" localSheetId="13" hidden="1">0</definedName>
    <definedName name="solver_val" localSheetId="8" hidden="1">0</definedName>
    <definedName name="solver_ver" localSheetId="13" hidden="1">3</definedName>
    <definedName name="solver_ver" localSheetId="8" hidden="1">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11" l="1"/>
  <c r="K15" i="11"/>
  <c r="K16" i="11"/>
  <c r="K13" i="11"/>
  <c r="K5" i="11"/>
  <c r="K6" i="11"/>
  <c r="K7" i="11"/>
  <c r="K4" i="11"/>
  <c r="K5" i="1"/>
  <c r="K6" i="1"/>
  <c r="K7" i="1"/>
  <c r="K8" i="1"/>
  <c r="K4" i="1"/>
  <c r="G37" i="1"/>
  <c r="G41" i="1"/>
  <c r="G42" i="1"/>
  <c r="G40" i="1"/>
</calcChain>
</file>

<file path=xl/sharedStrings.xml><?xml version="1.0" encoding="utf-8"?>
<sst xmlns="http://schemas.openxmlformats.org/spreadsheetml/2006/main" count="622" uniqueCount="178">
  <si>
    <t>F.O MAX D: 12Y1+6Y2+80Y3+6Y4</t>
  </si>
  <si>
    <t>RESTRICC</t>
  </si>
  <si>
    <t>SIMB</t>
  </si>
  <si>
    <t>1Y1+0Y2+8Y3+1Y4</t>
  </si>
  <si>
    <t>0Y1+1Y2+10Y3-1Y4</t>
  </si>
  <si>
    <t>&lt;=</t>
  </si>
  <si>
    <t>Y3 NR</t>
  </si>
  <si>
    <t>Y1,Y2,Y4&lt;=0</t>
  </si>
  <si>
    <t>Y1,Y2,Y4=&gt;0</t>
  </si>
  <si>
    <t>F.O MAX D: -12Y1-6Y2+80Y3-6Y4</t>
  </si>
  <si>
    <t>-Y1+8Y3-1Y4</t>
  </si>
  <si>
    <t>-1Y2+10Y3+1Y4</t>
  </si>
  <si>
    <t>Y3=R1-R2</t>
  </si>
  <si>
    <t>F.O MAX D: -12Y1-6Y2+80(R1-R2)-6Y4</t>
  </si>
  <si>
    <t>-Y1+8(R1-R2)-1Y4</t>
  </si>
  <si>
    <t>-1Y2+10(R1-R2)+1Y4</t>
  </si>
  <si>
    <t>Y1,Y2,Y4,R1,R2=&gt;0</t>
  </si>
  <si>
    <t>VAR</t>
  </si>
  <si>
    <t>Y1</t>
  </si>
  <si>
    <t>Y2</t>
  </si>
  <si>
    <t>Y3</t>
  </si>
  <si>
    <t>Y4</t>
  </si>
  <si>
    <t>VALOR</t>
  </si>
  <si>
    <t>F.O</t>
  </si>
  <si>
    <t>R1</t>
  </si>
  <si>
    <t>R2</t>
  </si>
  <si>
    <t>R CAMIONETAS</t>
  </si>
  <si>
    <t>R CAMIONES</t>
  </si>
  <si>
    <t>LI1Z</t>
  </si>
  <si>
    <t>SIM</t>
  </si>
  <si>
    <t>LDE</t>
  </si>
  <si>
    <t>Microsoft Excel 16.0 Informe de respuestas</t>
  </si>
  <si>
    <t>Hoja de cálculo: [Libro1]Hoja1</t>
  </si>
  <si>
    <t>Informe creado: 05/11/2025 02:55:19 p. m.</t>
  </si>
  <si>
    <t>Resultado: Solver encontró una solución. Se cumplen todas las restricciones y condiciones óptimas.</t>
  </si>
  <si>
    <t>Motor de Solver</t>
  </si>
  <si>
    <t>Motor: Simplex LP</t>
  </si>
  <si>
    <t>Tiempo de la solución: 0.031 segundos.</t>
  </si>
  <si>
    <t>Iteraciones: 2 Subproblemas: 0</t>
  </si>
  <si>
    <t>Opciones de Solver</t>
  </si>
  <si>
    <t>Tiempo máximo Ilimitado,  Iteraciones Ilimitado, Precision 0.000001, Usar escala automática</t>
  </si>
  <si>
    <t>Máximo de subproblemas Ilimitado, Máximo de soluciones de enteros Ilimitado, Tolerancia de enteros 1%, Asumir no negativo</t>
  </si>
  <si>
    <t>Celda objetivo (Máx)</t>
  </si>
  <si>
    <t>Celda</t>
  </si>
  <si>
    <t>Nombre</t>
  </si>
  <si>
    <t>Valor original</t>
  </si>
  <si>
    <t>Valor final</t>
  </si>
  <si>
    <t>Celdas de variables</t>
  </si>
  <si>
    <t>Entero</t>
  </si>
  <si>
    <t>Restricciones</t>
  </si>
  <si>
    <t>Valor de la celda</t>
  </si>
  <si>
    <t>Fórmula</t>
  </si>
  <si>
    <t>Estado</t>
  </si>
  <si>
    <t>Demora</t>
  </si>
  <si>
    <t>$G$40</t>
  </si>
  <si>
    <t>F.O LI1Z</t>
  </si>
  <si>
    <t>$B$39</t>
  </si>
  <si>
    <t>VALOR Y1</t>
  </si>
  <si>
    <t>Continuar</t>
  </si>
  <si>
    <t>$C$39</t>
  </si>
  <si>
    <t>VALOR Y2</t>
  </si>
  <si>
    <t>$D$39</t>
  </si>
  <si>
    <t>VALOR R1</t>
  </si>
  <si>
    <t>$E$39</t>
  </si>
  <si>
    <t>VALOR R2</t>
  </si>
  <si>
    <t>$F$39</t>
  </si>
  <si>
    <t>VALOR Y4</t>
  </si>
  <si>
    <t>$G$41</t>
  </si>
  <si>
    <t>R CAMIONETAS LI1Z</t>
  </si>
  <si>
    <t>$G$41&lt;=$I$41</t>
  </si>
  <si>
    <t>Vinculante</t>
  </si>
  <si>
    <t>$G$42</t>
  </si>
  <si>
    <t>R CAMIONES LI1Z</t>
  </si>
  <si>
    <t>$G$42&lt;=$I$42</t>
  </si>
  <si>
    <t>Microsoft Excel 16.0 Informe de sensibilidad</t>
  </si>
  <si>
    <t>Final</t>
  </si>
  <si>
    <t>Valor</t>
  </si>
  <si>
    <t>Reducido</t>
  </si>
  <si>
    <t>Coste</t>
  </si>
  <si>
    <t>Objetivo</t>
  </si>
  <si>
    <t>Coeficiente</t>
  </si>
  <si>
    <t>Permisible</t>
  </si>
  <si>
    <t>Aumentar</t>
  </si>
  <si>
    <t>Reducir</t>
  </si>
  <si>
    <t>Sombra</t>
  </si>
  <si>
    <t>Precio</t>
  </si>
  <si>
    <t>Restricción</t>
  </si>
  <si>
    <t>Lado derecho</t>
  </si>
  <si>
    <t>Microsoft Excel 16.0 Informe de límites</t>
  </si>
  <si>
    <t>Informe creado: 05/11/2025 02:55:20 p. m.</t>
  </si>
  <si>
    <t>Variable</t>
  </si>
  <si>
    <t>Inferior</t>
  </si>
  <si>
    <t>Límite</t>
  </si>
  <si>
    <t>Resultado</t>
  </si>
  <si>
    <t>Superior</t>
  </si>
  <si>
    <t>#N/D</t>
  </si>
  <si>
    <t>Y3=44.44</t>
  </si>
  <si>
    <t>CAMIONETAS</t>
  </si>
  <si>
    <t>CAMIONES</t>
  </si>
  <si>
    <t>TON A TRANSPORTAR</t>
  </si>
  <si>
    <t>VEHICULOS EN RESERVA</t>
  </si>
  <si>
    <t>X1</t>
  </si>
  <si>
    <t>X2</t>
  </si>
  <si>
    <t>DIS CAMNT</t>
  </si>
  <si>
    <t>DIS CAMION</t>
  </si>
  <si>
    <t>TON A TRANS</t>
  </si>
  <si>
    <t>VEH RESERVA</t>
  </si>
  <si>
    <t>=</t>
  </si>
  <si>
    <t>Celda objetivo (Mín)</t>
  </si>
  <si>
    <t>$I$3</t>
  </si>
  <si>
    <t>VALOR X1</t>
  </si>
  <si>
    <t>$J$3</t>
  </si>
  <si>
    <t>VALOR X2</t>
  </si>
  <si>
    <t>$K$5</t>
  </si>
  <si>
    <t>DIS CAMNT LI1Z</t>
  </si>
  <si>
    <t>$K$5&lt;=$M$5</t>
  </si>
  <si>
    <t>No vinculante</t>
  </si>
  <si>
    <t>$K$6</t>
  </si>
  <si>
    <t>DIS CAMION LI1Z</t>
  </si>
  <si>
    <t>$K$6&lt;=$M$6</t>
  </si>
  <si>
    <t>$K$7</t>
  </si>
  <si>
    <t>TON A TRANS LI1Z</t>
  </si>
  <si>
    <t>$K$7=$M$7</t>
  </si>
  <si>
    <t>$K$8</t>
  </si>
  <si>
    <t>VEH RESERVA LI1Z</t>
  </si>
  <si>
    <t>$K$8&lt;=$M$8</t>
  </si>
  <si>
    <t>Informe creado: 05/11/2025 03:05:15 p. m.</t>
  </si>
  <si>
    <t>Tiempo de la solución: 0.016 segundos.</t>
  </si>
  <si>
    <t>Iteraciones: 3 Subproblemas: 0</t>
  </si>
  <si>
    <t>$K$4</t>
  </si>
  <si>
    <t>Xi=CANTIDAD A FABRICAR DE CADA PATRON DE CORTE</t>
  </si>
  <si>
    <t>F.O MIN Z:2X1+1.5X2+3X3</t>
  </si>
  <si>
    <t>DESPERDICIOS</t>
  </si>
  <si>
    <t>R</t>
  </si>
  <si>
    <t>R PP</t>
  </si>
  <si>
    <t>R PM</t>
  </si>
  <si>
    <t>R PG</t>
  </si>
  <si>
    <t>3X1+2X2+X3</t>
  </si>
  <si>
    <t>1X1+2X2+2X3</t>
  </si>
  <si>
    <t>1X2+2X3</t>
  </si>
  <si>
    <t>&gt;=</t>
  </si>
  <si>
    <t>Xi&gt;=0</t>
  </si>
  <si>
    <t>DUAL</t>
  </si>
  <si>
    <t>MAX D: 100Y1+80Y2+60Y3</t>
  </si>
  <si>
    <t>R P1</t>
  </si>
  <si>
    <t>RP2</t>
  </si>
  <si>
    <t>RP3</t>
  </si>
  <si>
    <t>3Y1+Y2</t>
  </si>
  <si>
    <t>2Y1+2Y2+Y3</t>
  </si>
  <si>
    <t>Y1+2Y2+2Y3</t>
  </si>
  <si>
    <t>Yi&gt;=0</t>
  </si>
  <si>
    <t>X3</t>
  </si>
  <si>
    <t>LIZQ</t>
  </si>
  <si>
    <t>LDER</t>
  </si>
  <si>
    <t>Hoja de cálculo: [Libro1]Hoja11</t>
  </si>
  <si>
    <t>Informe creado: 05/11/2025 03:24:00 p. m.</t>
  </si>
  <si>
    <t>F.O LIZQ</t>
  </si>
  <si>
    <t>$H$3</t>
  </si>
  <si>
    <t>VALOR X3</t>
  </si>
  <si>
    <t>R PP LIZQ</t>
  </si>
  <si>
    <t>$K$5&gt;=$M$5</t>
  </si>
  <si>
    <t>R PM LIZQ</t>
  </si>
  <si>
    <t>$K$6&gt;=$M$6</t>
  </si>
  <si>
    <t>R PG LIZQ</t>
  </si>
  <si>
    <t>$K$7&gt;=$M$7</t>
  </si>
  <si>
    <t>Informe creado: 05/11/2025 03:25:51 p. m.</t>
  </si>
  <si>
    <t>$K$13</t>
  </si>
  <si>
    <t>$H$12</t>
  </si>
  <si>
    <t>$I$12</t>
  </si>
  <si>
    <t>$J$12</t>
  </si>
  <si>
    <t>VALOR Y3</t>
  </si>
  <si>
    <t>$K$14</t>
  </si>
  <si>
    <t>$K$14&lt;=$M$14</t>
  </si>
  <si>
    <t>$K$15</t>
  </si>
  <si>
    <t>$K$15&lt;=$M$15</t>
  </si>
  <si>
    <t>$K$16</t>
  </si>
  <si>
    <t>$K$16&lt;=$M$16</t>
  </si>
  <si>
    <t>Informe creado: 05/11/2025 03:25:52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</si>
</sst>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1829</xdr:colOff>
      <xdr:row>3</xdr:row>
      <xdr:rowOff>53577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0D5F3F-97A6-4EC4-9DBB-0063629F4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9829" cy="6250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125016</xdr:rowOff>
    </xdr:from>
    <xdr:to>
      <xdr:col>3</xdr:col>
      <xdr:colOff>843748</xdr:colOff>
      <xdr:row>10</xdr:row>
      <xdr:rowOff>178594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64B11D-9E0A-40DE-ACE5-19E50EDA0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6516"/>
          <a:ext cx="3034498" cy="1387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98AF-6241-4066-8DB2-07281A6D2586}">
  <dimension ref="A1:G31"/>
  <sheetViews>
    <sheetView showGridLines="0" workbookViewId="0"/>
  </sheetViews>
  <sheetFormatPr baseColWidth="10" defaultRowHeight="15" x14ac:dyDescent="0.25"/>
  <cols>
    <col min="1" max="1" width="2.28515625" customWidth="1"/>
    <col min="2" max="2" width="6.28515625" bestFit="1" customWidth="1"/>
    <col min="3" max="3" width="18.42578125" bestFit="1" customWidth="1"/>
    <col min="4" max="4" width="15.5703125" bestFit="1" customWidth="1"/>
    <col min="5" max="5" width="12.85546875" bestFit="1" customWidth="1"/>
    <col min="6" max="6" width="10.5703125" bestFit="1" customWidth="1"/>
    <col min="7" max="7" width="8" bestFit="1" customWidth="1"/>
  </cols>
  <sheetData>
    <row r="1" spans="1:5" x14ac:dyDescent="0.25">
      <c r="A1" s="2" t="s">
        <v>31</v>
      </c>
    </row>
    <row r="2" spans="1:5" x14ac:dyDescent="0.25">
      <c r="A2" s="2" t="s">
        <v>32</v>
      </c>
    </row>
    <row r="3" spans="1:5" x14ac:dyDescent="0.25">
      <c r="A3" s="2" t="s">
        <v>33</v>
      </c>
    </row>
    <row r="4" spans="1:5" x14ac:dyDescent="0.25">
      <c r="A4" s="2" t="s">
        <v>34</v>
      </c>
    </row>
    <row r="5" spans="1:5" x14ac:dyDescent="0.25">
      <c r="A5" s="2" t="s">
        <v>35</v>
      </c>
    </row>
    <row r="6" spans="1:5" x14ac:dyDescent="0.25">
      <c r="A6" s="2"/>
      <c r="B6" t="s">
        <v>36</v>
      </c>
    </row>
    <row r="7" spans="1:5" x14ac:dyDescent="0.25">
      <c r="A7" s="2"/>
      <c r="B7" t="s">
        <v>37</v>
      </c>
    </row>
    <row r="8" spans="1:5" x14ac:dyDescent="0.25">
      <c r="A8" s="2"/>
      <c r="B8" t="s">
        <v>38</v>
      </c>
    </row>
    <row r="9" spans="1:5" x14ac:dyDescent="0.25">
      <c r="A9" s="2" t="s">
        <v>39</v>
      </c>
    </row>
    <row r="10" spans="1:5" x14ac:dyDescent="0.25">
      <c r="B10" t="s">
        <v>40</v>
      </c>
    </row>
    <row r="11" spans="1:5" x14ac:dyDescent="0.25">
      <c r="B11" t="s">
        <v>41</v>
      </c>
    </row>
    <row r="14" spans="1:5" ht="15.75" thickBot="1" x14ac:dyDescent="0.3">
      <c r="A14" t="s">
        <v>42</v>
      </c>
    </row>
    <row r="15" spans="1:5" ht="15.75" thickBot="1" x14ac:dyDescent="0.3">
      <c r="B15" s="4" t="s">
        <v>43</v>
      </c>
      <c r="C15" s="4" t="s">
        <v>44</v>
      </c>
      <c r="D15" s="4" t="s">
        <v>45</v>
      </c>
      <c r="E15" s="4" t="s">
        <v>46</v>
      </c>
    </row>
    <row r="16" spans="1:5" ht="15.75" thickBot="1" x14ac:dyDescent="0.3">
      <c r="B16" s="3" t="s">
        <v>54</v>
      </c>
      <c r="C16" s="3" t="s">
        <v>55</v>
      </c>
      <c r="D16" s="6">
        <v>0</v>
      </c>
      <c r="E16" s="6">
        <v>3222.2222222222222</v>
      </c>
    </row>
    <row r="19" spans="1:7" ht="15.75" thickBot="1" x14ac:dyDescent="0.3">
      <c r="A19" t="s">
        <v>47</v>
      </c>
    </row>
    <row r="20" spans="1:7" ht="15.75" thickBot="1" x14ac:dyDescent="0.3">
      <c r="B20" s="4" t="s">
        <v>43</v>
      </c>
      <c r="C20" s="4" t="s">
        <v>44</v>
      </c>
      <c r="D20" s="4" t="s">
        <v>45</v>
      </c>
      <c r="E20" s="4" t="s">
        <v>46</v>
      </c>
      <c r="F20" s="4" t="s">
        <v>48</v>
      </c>
    </row>
    <row r="21" spans="1:7" x14ac:dyDescent="0.25">
      <c r="B21" s="5" t="s">
        <v>56</v>
      </c>
      <c r="C21" s="5" t="s">
        <v>57</v>
      </c>
      <c r="D21" s="7">
        <v>0</v>
      </c>
      <c r="E21" s="7">
        <v>0</v>
      </c>
      <c r="F21" s="5" t="s">
        <v>58</v>
      </c>
    </row>
    <row r="22" spans="1:7" x14ac:dyDescent="0.25">
      <c r="B22" s="5" t="s">
        <v>59</v>
      </c>
      <c r="C22" s="5" t="s">
        <v>60</v>
      </c>
      <c r="D22" s="7">
        <v>0</v>
      </c>
      <c r="E22" s="7">
        <v>0</v>
      </c>
      <c r="F22" s="5" t="s">
        <v>58</v>
      </c>
    </row>
    <row r="23" spans="1:7" x14ac:dyDescent="0.25">
      <c r="B23" s="5" t="s">
        <v>61</v>
      </c>
      <c r="C23" s="5" t="s">
        <v>62</v>
      </c>
      <c r="D23" s="7">
        <v>0</v>
      </c>
      <c r="E23" s="7">
        <v>44.444444444444443</v>
      </c>
      <c r="F23" s="5" t="s">
        <v>58</v>
      </c>
    </row>
    <row r="24" spans="1:7" x14ac:dyDescent="0.25">
      <c r="B24" s="5" t="s">
        <v>63</v>
      </c>
      <c r="C24" s="5" t="s">
        <v>64</v>
      </c>
      <c r="D24" s="7">
        <v>0</v>
      </c>
      <c r="E24" s="7">
        <v>0</v>
      </c>
      <c r="F24" s="5" t="s">
        <v>58</v>
      </c>
    </row>
    <row r="25" spans="1:7" ht="15.75" thickBot="1" x14ac:dyDescent="0.3">
      <c r="B25" s="3" t="s">
        <v>65</v>
      </c>
      <c r="C25" s="3" t="s">
        <v>66</v>
      </c>
      <c r="D25" s="6">
        <v>0</v>
      </c>
      <c r="E25" s="6">
        <v>55.55555555555555</v>
      </c>
      <c r="F25" s="3" t="s">
        <v>58</v>
      </c>
    </row>
    <row r="28" spans="1:7" ht="15.75" thickBot="1" x14ac:dyDescent="0.3">
      <c r="A28" t="s">
        <v>49</v>
      </c>
    </row>
    <row r="29" spans="1:7" ht="15.75" thickBot="1" x14ac:dyDescent="0.3">
      <c r="B29" s="4" t="s">
        <v>43</v>
      </c>
      <c r="C29" s="4" t="s">
        <v>44</v>
      </c>
      <c r="D29" s="4" t="s">
        <v>50</v>
      </c>
      <c r="E29" s="4" t="s">
        <v>51</v>
      </c>
      <c r="F29" s="4" t="s">
        <v>52</v>
      </c>
      <c r="G29" s="4" t="s">
        <v>53</v>
      </c>
    </row>
    <row r="30" spans="1:7" x14ac:dyDescent="0.25">
      <c r="B30" s="5" t="s">
        <v>67</v>
      </c>
      <c r="C30" s="5" t="s">
        <v>68</v>
      </c>
      <c r="D30" s="7">
        <v>300</v>
      </c>
      <c r="E30" s="5" t="s">
        <v>69</v>
      </c>
      <c r="F30" s="5" t="s">
        <v>70</v>
      </c>
      <c r="G30" s="5">
        <v>0</v>
      </c>
    </row>
    <row r="31" spans="1:7" ht="15.75" thickBot="1" x14ac:dyDescent="0.3">
      <c r="B31" s="3" t="s">
        <v>71</v>
      </c>
      <c r="C31" s="3" t="s">
        <v>72</v>
      </c>
      <c r="D31" s="6">
        <v>500</v>
      </c>
      <c r="E31" s="3" t="s">
        <v>73</v>
      </c>
      <c r="F31" s="3" t="s">
        <v>70</v>
      </c>
      <c r="G3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5AF6-A7FA-4292-BAC2-95C67C48CDBB}">
  <dimension ref="A1:I19"/>
  <sheetViews>
    <sheetView showGridLines="0" topLeftCell="A4" zoomScale="190" zoomScaleNormal="190" workbookViewId="0">
      <selection activeCell="D13" sqref="D13"/>
    </sheetView>
  </sheetViews>
  <sheetFormatPr baseColWidth="10" defaultRowHeight="15" x14ac:dyDescent="0.25"/>
  <cols>
    <col min="1" max="1" width="2.28515625" customWidth="1"/>
    <col min="2" max="2" width="6.28515625" bestFit="1" customWidth="1"/>
    <col min="3" max="3" width="18.42578125" bestFit="1" customWidth="1"/>
    <col min="4" max="4" width="12" bestFit="1" customWidth="1"/>
    <col min="5" max="5" width="12.7109375" bestFit="1" customWidth="1"/>
    <col min="6" max="6" width="12.85546875" bestFit="1" customWidth="1"/>
    <col min="7" max="7" width="12" bestFit="1" customWidth="1"/>
    <col min="8" max="8" width="10.5703125" bestFit="1" customWidth="1"/>
  </cols>
  <sheetData>
    <row r="1" spans="1:9" x14ac:dyDescent="0.25">
      <c r="A1" s="2" t="s">
        <v>74</v>
      </c>
    </row>
    <row r="2" spans="1:9" x14ac:dyDescent="0.25">
      <c r="A2" s="2" t="s">
        <v>32</v>
      </c>
    </row>
    <row r="3" spans="1:9" x14ac:dyDescent="0.25">
      <c r="A3" s="2" t="s">
        <v>33</v>
      </c>
    </row>
    <row r="6" spans="1:9" ht="15.75" thickBot="1" x14ac:dyDescent="0.3">
      <c r="A6" t="s">
        <v>47</v>
      </c>
    </row>
    <row r="7" spans="1:9" x14ac:dyDescent="0.25">
      <c r="B7" s="8"/>
      <c r="C7" s="8"/>
      <c r="D7" s="8" t="s">
        <v>75</v>
      </c>
      <c r="E7" s="8" t="s">
        <v>77</v>
      </c>
      <c r="F7" s="8" t="s">
        <v>79</v>
      </c>
      <c r="G7" s="8" t="s">
        <v>81</v>
      </c>
      <c r="H7" s="8" t="s">
        <v>81</v>
      </c>
    </row>
    <row r="8" spans="1:9" ht="15.75" thickBot="1" x14ac:dyDescent="0.3">
      <c r="B8" s="9" t="s">
        <v>43</v>
      </c>
      <c r="C8" s="9" t="s">
        <v>44</v>
      </c>
      <c r="D8" s="9" t="s">
        <v>76</v>
      </c>
      <c r="E8" s="9" t="s">
        <v>78</v>
      </c>
      <c r="F8" s="9" t="s">
        <v>80</v>
      </c>
      <c r="G8" s="9" t="s">
        <v>82</v>
      </c>
      <c r="H8" s="9" t="s">
        <v>83</v>
      </c>
    </row>
    <row r="9" spans="1:9" x14ac:dyDescent="0.25">
      <c r="B9" s="5" t="s">
        <v>56</v>
      </c>
      <c r="C9" s="5" t="s">
        <v>57</v>
      </c>
      <c r="D9" s="5">
        <v>0</v>
      </c>
      <c r="E9" s="5">
        <v>-4.2222222222222223</v>
      </c>
      <c r="F9" s="5">
        <v>-12</v>
      </c>
      <c r="G9" s="5">
        <v>4.2222222222222223</v>
      </c>
      <c r="H9" s="5">
        <v>1E+30</v>
      </c>
      <c r="I9" t="s">
        <v>97</v>
      </c>
    </row>
    <row r="10" spans="1:9" x14ac:dyDescent="0.25">
      <c r="B10" s="5" t="s">
        <v>59</v>
      </c>
      <c r="C10" s="5" t="s">
        <v>60</v>
      </c>
      <c r="D10" s="5">
        <v>0</v>
      </c>
      <c r="E10" s="5">
        <v>-4.2222222222222223</v>
      </c>
      <c r="F10" s="5">
        <v>-6</v>
      </c>
      <c r="G10" s="5">
        <v>4.2222222222222223</v>
      </c>
      <c r="H10" s="5">
        <v>1E+30</v>
      </c>
      <c r="I10" t="s">
        <v>98</v>
      </c>
    </row>
    <row r="11" spans="1:9" x14ac:dyDescent="0.25">
      <c r="B11" s="5" t="s">
        <v>61</v>
      </c>
      <c r="C11" s="5" t="s">
        <v>62</v>
      </c>
      <c r="D11" s="5">
        <v>44.444444444444443</v>
      </c>
      <c r="E11" s="5">
        <v>0</v>
      </c>
      <c r="F11" s="5">
        <v>80</v>
      </c>
      <c r="G11" s="5">
        <v>0</v>
      </c>
      <c r="H11" s="5">
        <v>32</v>
      </c>
      <c r="I11" t="s">
        <v>99</v>
      </c>
    </row>
    <row r="12" spans="1:9" x14ac:dyDescent="0.25">
      <c r="B12" s="5" t="s">
        <v>63</v>
      </c>
      <c r="C12" s="5" t="s">
        <v>64</v>
      </c>
      <c r="D12" s="5">
        <v>0</v>
      </c>
      <c r="E12" s="5">
        <v>0</v>
      </c>
      <c r="F12" s="5">
        <v>-80</v>
      </c>
      <c r="G12" s="5">
        <v>0</v>
      </c>
      <c r="H12" s="5">
        <v>1E+30</v>
      </c>
      <c r="I12" t="s">
        <v>99</v>
      </c>
    </row>
    <row r="13" spans="1:9" ht="15.75" thickBot="1" x14ac:dyDescent="0.3">
      <c r="B13" s="3" t="s">
        <v>65</v>
      </c>
      <c r="C13" s="3" t="s">
        <v>66</v>
      </c>
      <c r="D13" s="3">
        <v>55.55555555555555</v>
      </c>
      <c r="E13" s="3">
        <v>0</v>
      </c>
      <c r="F13" s="3">
        <v>-6</v>
      </c>
      <c r="G13" s="3">
        <v>9.5</v>
      </c>
      <c r="H13" s="3">
        <v>4</v>
      </c>
      <c r="I13" t="s">
        <v>100</v>
      </c>
    </row>
    <row r="15" spans="1:9" ht="15.75" thickBot="1" x14ac:dyDescent="0.3">
      <c r="A15" t="s">
        <v>49</v>
      </c>
    </row>
    <row r="16" spans="1:9" x14ac:dyDescent="0.25">
      <c r="B16" s="8"/>
      <c r="C16" s="8"/>
      <c r="D16" s="8" t="s">
        <v>75</v>
      </c>
      <c r="E16" s="8" t="s">
        <v>84</v>
      </c>
      <c r="F16" s="8" t="s">
        <v>86</v>
      </c>
      <c r="G16" s="8" t="s">
        <v>81</v>
      </c>
      <c r="H16" s="8" t="s">
        <v>81</v>
      </c>
    </row>
    <row r="17" spans="2:8" ht="15.75" thickBot="1" x14ac:dyDescent="0.3">
      <c r="B17" s="9" t="s">
        <v>43</v>
      </c>
      <c r="C17" s="9" t="s">
        <v>44</v>
      </c>
      <c r="D17" s="9" t="s">
        <v>76</v>
      </c>
      <c r="E17" s="9" t="s">
        <v>85</v>
      </c>
      <c r="F17" s="9" t="s">
        <v>87</v>
      </c>
      <c r="G17" s="9" t="s">
        <v>82</v>
      </c>
      <c r="H17" s="9" t="s">
        <v>83</v>
      </c>
    </row>
    <row r="18" spans="2:8" x14ac:dyDescent="0.25">
      <c r="B18" s="5" t="s">
        <v>67</v>
      </c>
      <c r="C18" s="5" t="s">
        <v>68</v>
      </c>
      <c r="D18" s="5">
        <v>300</v>
      </c>
      <c r="E18" s="5">
        <v>7.7777777777777777</v>
      </c>
      <c r="F18" s="5">
        <v>300</v>
      </c>
      <c r="G18" s="5">
        <v>99.999999999999986</v>
      </c>
      <c r="H18" s="5">
        <v>800</v>
      </c>
    </row>
    <row r="19" spans="2:8" ht="15.75" thickBot="1" x14ac:dyDescent="0.3">
      <c r="B19" s="3" t="s">
        <v>71</v>
      </c>
      <c r="C19" s="3" t="s">
        <v>72</v>
      </c>
      <c r="D19" s="3">
        <v>500</v>
      </c>
      <c r="E19" s="3">
        <v>1.7777777777777777</v>
      </c>
      <c r="F19" s="3">
        <v>500</v>
      </c>
      <c r="G19" s="3">
        <v>1E+30</v>
      </c>
      <c r="H19" s="3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1C49-7192-40E5-8DED-E95678E26127}">
  <dimension ref="A1:G30"/>
  <sheetViews>
    <sheetView showGridLines="0" workbookViewId="0"/>
  </sheetViews>
  <sheetFormatPr baseColWidth="10" defaultRowHeight="15" x14ac:dyDescent="0.25"/>
  <cols>
    <col min="1" max="1" width="2.28515625" customWidth="1"/>
    <col min="2" max="2" width="6" bestFit="1" customWidth="1"/>
    <col min="3" max="3" width="9.7109375" bestFit="1" customWidth="1"/>
    <col min="4" max="4" width="15.5703125" bestFit="1" customWidth="1"/>
    <col min="5" max="5" width="12" bestFit="1" customWidth="1"/>
    <col min="6" max="6" width="13.28515625" bestFit="1" customWidth="1"/>
    <col min="7" max="7" width="12" bestFit="1" customWidth="1"/>
  </cols>
  <sheetData>
    <row r="1" spans="1:5" x14ac:dyDescent="0.25">
      <c r="A1" s="2" t="s">
        <v>31</v>
      </c>
    </row>
    <row r="2" spans="1:5" x14ac:dyDescent="0.25">
      <c r="A2" s="2" t="s">
        <v>154</v>
      </c>
    </row>
    <row r="3" spans="1:5" x14ac:dyDescent="0.25">
      <c r="A3" s="2" t="s">
        <v>155</v>
      </c>
    </row>
    <row r="4" spans="1:5" x14ac:dyDescent="0.25">
      <c r="A4" s="2" t="s">
        <v>34</v>
      </c>
    </row>
    <row r="5" spans="1:5" x14ac:dyDescent="0.25">
      <c r="A5" s="2" t="s">
        <v>35</v>
      </c>
    </row>
    <row r="6" spans="1:5" x14ac:dyDescent="0.25">
      <c r="A6" s="2"/>
      <c r="B6" t="s">
        <v>36</v>
      </c>
    </row>
    <row r="7" spans="1:5" x14ac:dyDescent="0.25">
      <c r="A7" s="2"/>
      <c r="B7" t="s">
        <v>127</v>
      </c>
    </row>
    <row r="8" spans="1:5" x14ac:dyDescent="0.25">
      <c r="A8" s="2"/>
      <c r="B8" t="s">
        <v>128</v>
      </c>
    </row>
    <row r="9" spans="1:5" x14ac:dyDescent="0.25">
      <c r="A9" s="2" t="s">
        <v>39</v>
      </c>
    </row>
    <row r="10" spans="1:5" x14ac:dyDescent="0.25">
      <c r="B10" t="s">
        <v>40</v>
      </c>
    </row>
    <row r="11" spans="1:5" x14ac:dyDescent="0.25">
      <c r="B11" t="s">
        <v>41</v>
      </c>
    </row>
    <row r="14" spans="1:5" ht="15.75" thickBot="1" x14ac:dyDescent="0.3">
      <c r="A14" t="s">
        <v>108</v>
      </c>
    </row>
    <row r="15" spans="1:5" ht="15.75" thickBot="1" x14ac:dyDescent="0.3">
      <c r="B15" s="4" t="s">
        <v>43</v>
      </c>
      <c r="C15" s="4" t="s">
        <v>44</v>
      </c>
      <c r="D15" s="4" t="s">
        <v>45</v>
      </c>
      <c r="E15" s="4" t="s">
        <v>46</v>
      </c>
    </row>
    <row r="16" spans="1:5" ht="15.75" thickBot="1" x14ac:dyDescent="0.3">
      <c r="B16" s="3" t="s">
        <v>129</v>
      </c>
      <c r="C16" s="3" t="s">
        <v>156</v>
      </c>
      <c r="D16" s="6">
        <v>20.5</v>
      </c>
      <c r="E16" s="6">
        <v>90</v>
      </c>
    </row>
    <row r="19" spans="1:7" ht="15.75" thickBot="1" x14ac:dyDescent="0.3">
      <c r="A19" t="s">
        <v>47</v>
      </c>
    </row>
    <row r="20" spans="1:7" ht="15.75" thickBot="1" x14ac:dyDescent="0.3">
      <c r="B20" s="4" t="s">
        <v>43</v>
      </c>
      <c r="C20" s="4" t="s">
        <v>44</v>
      </c>
      <c r="D20" s="4" t="s">
        <v>45</v>
      </c>
      <c r="E20" s="4" t="s">
        <v>46</v>
      </c>
      <c r="F20" s="4" t="s">
        <v>48</v>
      </c>
    </row>
    <row r="21" spans="1:7" x14ac:dyDescent="0.25">
      <c r="B21" s="5" t="s">
        <v>157</v>
      </c>
      <c r="C21" s="5" t="s">
        <v>110</v>
      </c>
      <c r="D21" s="7">
        <v>2</v>
      </c>
      <c r="E21" s="7">
        <v>0</v>
      </c>
      <c r="F21" s="5" t="s">
        <v>58</v>
      </c>
    </row>
    <row r="22" spans="1:7" x14ac:dyDescent="0.25">
      <c r="B22" s="5" t="s">
        <v>109</v>
      </c>
      <c r="C22" s="5" t="s">
        <v>112</v>
      </c>
      <c r="D22" s="7">
        <v>3</v>
      </c>
      <c r="E22" s="7">
        <v>46.666666666666664</v>
      </c>
      <c r="F22" s="5" t="s">
        <v>58</v>
      </c>
    </row>
    <row r="23" spans="1:7" ht="15.75" thickBot="1" x14ac:dyDescent="0.3">
      <c r="B23" s="3" t="s">
        <v>111</v>
      </c>
      <c r="C23" s="3" t="s">
        <v>158</v>
      </c>
      <c r="D23" s="6">
        <v>4</v>
      </c>
      <c r="E23" s="6">
        <v>6.6666666666666661</v>
      </c>
      <c r="F23" s="3" t="s">
        <v>58</v>
      </c>
    </row>
    <row r="26" spans="1:7" ht="15.75" thickBot="1" x14ac:dyDescent="0.3">
      <c r="A26" t="s">
        <v>49</v>
      </c>
    </row>
    <row r="27" spans="1:7" ht="15.75" thickBot="1" x14ac:dyDescent="0.3">
      <c r="B27" s="4" t="s">
        <v>43</v>
      </c>
      <c r="C27" s="4" t="s">
        <v>44</v>
      </c>
      <c r="D27" s="4" t="s">
        <v>50</v>
      </c>
      <c r="E27" s="4" t="s">
        <v>51</v>
      </c>
      <c r="F27" s="4" t="s">
        <v>52</v>
      </c>
      <c r="G27" s="4" t="s">
        <v>53</v>
      </c>
    </row>
    <row r="28" spans="1:7" x14ac:dyDescent="0.25">
      <c r="B28" s="5" t="s">
        <v>113</v>
      </c>
      <c r="C28" s="5" t="s">
        <v>159</v>
      </c>
      <c r="D28" s="7">
        <v>100</v>
      </c>
      <c r="E28" s="5" t="s">
        <v>160</v>
      </c>
      <c r="F28" s="5" t="s">
        <v>70</v>
      </c>
      <c r="G28" s="7">
        <v>0</v>
      </c>
    </row>
    <row r="29" spans="1:7" x14ac:dyDescent="0.25">
      <c r="B29" s="5" t="s">
        <v>117</v>
      </c>
      <c r="C29" s="5" t="s">
        <v>161</v>
      </c>
      <c r="D29" s="7">
        <v>106.66666666666666</v>
      </c>
      <c r="E29" s="5" t="s">
        <v>162</v>
      </c>
      <c r="F29" s="5" t="s">
        <v>116</v>
      </c>
      <c r="G29" s="7">
        <v>26.666666666666657</v>
      </c>
    </row>
    <row r="30" spans="1:7" ht="15.75" thickBot="1" x14ac:dyDescent="0.3">
      <c r="B30" s="3" t="s">
        <v>120</v>
      </c>
      <c r="C30" s="3" t="s">
        <v>163</v>
      </c>
      <c r="D30" s="6">
        <v>60</v>
      </c>
      <c r="E30" s="3" t="s">
        <v>164</v>
      </c>
      <c r="F30" s="3" t="s">
        <v>70</v>
      </c>
      <c r="G30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6233-97AC-4FFA-A9A1-1E78B0F6FB1D}">
  <dimension ref="A1:H18"/>
  <sheetViews>
    <sheetView showGridLines="0" tabSelected="1" zoomScale="160" zoomScaleNormal="160" workbookViewId="0">
      <selection activeCell="F22" sqref="F22"/>
    </sheetView>
  </sheetViews>
  <sheetFormatPr baseColWidth="10" defaultRowHeight="15" x14ac:dyDescent="0.25"/>
  <cols>
    <col min="1" max="1" width="2.28515625" customWidth="1"/>
    <col min="2" max="2" width="6" bestFit="1" customWidth="1"/>
    <col min="3" max="3" width="9.7109375" bestFit="1" customWidth="1"/>
    <col min="4" max="4" width="12" bestFit="1" customWidth="1"/>
    <col min="5" max="5" width="9.28515625" bestFit="1" customWidth="1"/>
    <col min="6" max="6" width="12.85546875" bestFit="1" customWidth="1"/>
    <col min="7" max="7" width="12" bestFit="1" customWidth="1"/>
    <col min="8" max="8" width="10.5703125" bestFit="1" customWidth="1"/>
  </cols>
  <sheetData>
    <row r="1" spans="1:8" x14ac:dyDescent="0.25">
      <c r="A1" s="2" t="s">
        <v>74</v>
      </c>
    </row>
    <row r="2" spans="1:8" x14ac:dyDescent="0.25">
      <c r="A2" s="2" t="s">
        <v>154</v>
      </c>
    </row>
    <row r="3" spans="1:8" x14ac:dyDescent="0.25">
      <c r="A3" s="2" t="s">
        <v>155</v>
      </c>
    </row>
    <row r="6" spans="1:8" ht="15.75" thickBot="1" x14ac:dyDescent="0.3">
      <c r="A6" t="s">
        <v>47</v>
      </c>
    </row>
    <row r="7" spans="1:8" x14ac:dyDescent="0.25">
      <c r="B7" s="8"/>
      <c r="C7" s="8"/>
      <c r="D7" s="8" t="s">
        <v>75</v>
      </c>
      <c r="E7" s="8" t="s">
        <v>77</v>
      </c>
      <c r="F7" s="8" t="s">
        <v>79</v>
      </c>
      <c r="G7" s="8" t="s">
        <v>81</v>
      </c>
      <c r="H7" s="8" t="s">
        <v>81</v>
      </c>
    </row>
    <row r="8" spans="1:8" ht="15.75" thickBot="1" x14ac:dyDescent="0.3">
      <c r="B8" s="9" t="s">
        <v>43</v>
      </c>
      <c r="C8" s="9" t="s">
        <v>44</v>
      </c>
      <c r="D8" s="9" t="s">
        <v>76</v>
      </c>
      <c r="E8" s="9" t="s">
        <v>78</v>
      </c>
      <c r="F8" s="9" t="s">
        <v>80</v>
      </c>
      <c r="G8" s="9" t="s">
        <v>82</v>
      </c>
      <c r="H8" s="9" t="s">
        <v>83</v>
      </c>
    </row>
    <row r="9" spans="1:8" x14ac:dyDescent="0.25">
      <c r="B9" s="5" t="s">
        <v>157</v>
      </c>
      <c r="C9" s="5" t="s">
        <v>110</v>
      </c>
      <c r="D9" s="5">
        <v>0</v>
      </c>
      <c r="E9" s="5">
        <v>2</v>
      </c>
      <c r="F9" s="5">
        <v>2</v>
      </c>
      <c r="G9" s="5">
        <v>1E+30</v>
      </c>
      <c r="H9" s="5">
        <v>2</v>
      </c>
    </row>
    <row r="10" spans="1:8" x14ac:dyDescent="0.25">
      <c r="B10" s="5" t="s">
        <v>109</v>
      </c>
      <c r="C10" s="5" t="s">
        <v>112</v>
      </c>
      <c r="D10" s="5">
        <v>46.666666666666664</v>
      </c>
      <c r="E10" s="5">
        <v>0</v>
      </c>
      <c r="F10" s="5">
        <v>1.5</v>
      </c>
      <c r="G10" s="5">
        <v>1</v>
      </c>
      <c r="H10" s="5">
        <v>0</v>
      </c>
    </row>
    <row r="11" spans="1:8" ht="15.75" thickBot="1" x14ac:dyDescent="0.3">
      <c r="B11" s="3" t="s">
        <v>111</v>
      </c>
      <c r="C11" s="3" t="s">
        <v>158</v>
      </c>
      <c r="D11" s="3">
        <v>6.6666666666666661</v>
      </c>
      <c r="E11" s="3">
        <v>0</v>
      </c>
      <c r="F11" s="3">
        <v>3</v>
      </c>
      <c r="G11" s="3">
        <v>0</v>
      </c>
      <c r="H11" s="3">
        <v>2</v>
      </c>
    </row>
    <row r="13" spans="1:8" ht="15.75" thickBot="1" x14ac:dyDescent="0.3">
      <c r="A13" t="s">
        <v>49</v>
      </c>
    </row>
    <row r="14" spans="1:8" x14ac:dyDescent="0.25">
      <c r="B14" s="8"/>
      <c r="C14" s="8"/>
      <c r="D14" s="8" t="s">
        <v>75</v>
      </c>
      <c r="E14" s="8" t="s">
        <v>84</v>
      </c>
      <c r="F14" s="8" t="s">
        <v>86</v>
      </c>
      <c r="G14" s="8" t="s">
        <v>81</v>
      </c>
      <c r="H14" s="8" t="s">
        <v>81</v>
      </c>
    </row>
    <row r="15" spans="1:8" ht="15.75" thickBot="1" x14ac:dyDescent="0.3">
      <c r="B15" s="9" t="s">
        <v>43</v>
      </c>
      <c r="C15" s="9" t="s">
        <v>44</v>
      </c>
      <c r="D15" s="9" t="s">
        <v>76</v>
      </c>
      <c r="E15" s="9" t="s">
        <v>85</v>
      </c>
      <c r="F15" s="9" t="s">
        <v>87</v>
      </c>
      <c r="G15" s="9" t="s">
        <v>82</v>
      </c>
      <c r="H15" s="9" t="s">
        <v>83</v>
      </c>
    </row>
    <row r="16" spans="1:8" x14ac:dyDescent="0.25">
      <c r="B16" s="5" t="s">
        <v>113</v>
      </c>
      <c r="C16" s="5" t="s">
        <v>159</v>
      </c>
      <c r="D16" s="5">
        <v>100</v>
      </c>
      <c r="E16" s="5">
        <v>0</v>
      </c>
      <c r="F16" s="5">
        <v>100</v>
      </c>
      <c r="G16" s="5">
        <v>20</v>
      </c>
      <c r="H16" s="5">
        <v>39.999999999999993</v>
      </c>
    </row>
    <row r="17" spans="2:8" x14ac:dyDescent="0.25">
      <c r="B17" s="5" t="s">
        <v>117</v>
      </c>
      <c r="C17" s="5" t="s">
        <v>161</v>
      </c>
      <c r="D17" s="5">
        <v>106.66666666666666</v>
      </c>
      <c r="E17" s="5">
        <v>0</v>
      </c>
      <c r="F17" s="5">
        <v>80</v>
      </c>
      <c r="G17" s="5">
        <v>26.666666666666664</v>
      </c>
      <c r="H17" s="5">
        <v>1E+30</v>
      </c>
    </row>
    <row r="18" spans="2:8" ht="15.75" thickBot="1" x14ac:dyDescent="0.3">
      <c r="B18" s="3" t="s">
        <v>120</v>
      </c>
      <c r="C18" s="3" t="s">
        <v>163</v>
      </c>
      <c r="D18" s="3">
        <v>60</v>
      </c>
      <c r="E18" s="3">
        <v>1.5</v>
      </c>
      <c r="F18" s="3">
        <v>60</v>
      </c>
      <c r="G18" s="3">
        <v>140</v>
      </c>
      <c r="H18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04AF-7CA7-4F71-A49A-0C385AAC2ECA}">
  <dimension ref="A1:J15"/>
  <sheetViews>
    <sheetView showGridLines="0" workbookViewId="0">
      <selection sqref="A1:A3"/>
    </sheetView>
  </sheetViews>
  <sheetFormatPr baseColWidth="10" defaultRowHeight="15" x14ac:dyDescent="0.25"/>
  <cols>
    <col min="1" max="1" width="2.28515625" customWidth="1"/>
    <col min="2" max="2" width="6" bestFit="1" customWidth="1"/>
    <col min="3" max="3" width="8.425781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88</v>
      </c>
    </row>
    <row r="2" spans="1:10" x14ac:dyDescent="0.25">
      <c r="A2" s="2" t="s">
        <v>154</v>
      </c>
    </row>
    <row r="3" spans="1:10" x14ac:dyDescent="0.25">
      <c r="A3" s="2" t="s">
        <v>155</v>
      </c>
    </row>
    <row r="5" spans="1:10" ht="15.75" thickBot="1" x14ac:dyDescent="0.3"/>
    <row r="6" spans="1:10" x14ac:dyDescent="0.25">
      <c r="B6" s="8"/>
      <c r="C6" s="8" t="s">
        <v>79</v>
      </c>
      <c r="D6" s="8"/>
    </row>
    <row r="7" spans="1:10" ht="15.75" thickBot="1" x14ac:dyDescent="0.3">
      <c r="B7" s="9" t="s">
        <v>43</v>
      </c>
      <c r="C7" s="9" t="s">
        <v>44</v>
      </c>
      <c r="D7" s="9" t="s">
        <v>76</v>
      </c>
    </row>
    <row r="8" spans="1:10" ht="15.75" thickBot="1" x14ac:dyDescent="0.3">
      <c r="B8" s="3" t="s">
        <v>129</v>
      </c>
      <c r="C8" s="3" t="s">
        <v>156</v>
      </c>
      <c r="D8" s="6">
        <v>90</v>
      </c>
    </row>
    <row r="10" spans="1:10" ht="15.75" thickBot="1" x14ac:dyDescent="0.3"/>
    <row r="11" spans="1:10" x14ac:dyDescent="0.25">
      <c r="B11" s="8"/>
      <c r="C11" s="8" t="s">
        <v>90</v>
      </c>
      <c r="D11" s="8"/>
      <c r="F11" s="8" t="s">
        <v>91</v>
      </c>
      <c r="G11" s="8" t="s">
        <v>79</v>
      </c>
      <c r="I11" s="8" t="s">
        <v>94</v>
      </c>
      <c r="J11" s="8" t="s">
        <v>79</v>
      </c>
    </row>
    <row r="12" spans="1:10" ht="15.75" thickBot="1" x14ac:dyDescent="0.3">
      <c r="B12" s="9" t="s">
        <v>43</v>
      </c>
      <c r="C12" s="9" t="s">
        <v>44</v>
      </c>
      <c r="D12" s="9" t="s">
        <v>76</v>
      </c>
      <c r="F12" s="9" t="s">
        <v>92</v>
      </c>
      <c r="G12" s="9" t="s">
        <v>93</v>
      </c>
      <c r="I12" s="9" t="s">
        <v>92</v>
      </c>
      <c r="J12" s="9" t="s">
        <v>93</v>
      </c>
    </row>
    <row r="13" spans="1:10" x14ac:dyDescent="0.25">
      <c r="B13" s="5" t="s">
        <v>157</v>
      </c>
      <c r="C13" s="5" t="s">
        <v>110</v>
      </c>
      <c r="D13" s="7">
        <v>0</v>
      </c>
      <c r="F13" s="7">
        <v>0</v>
      </c>
      <c r="G13" s="7">
        <v>90</v>
      </c>
      <c r="I13" s="5" t="s">
        <v>95</v>
      </c>
      <c r="J13" s="5" t="s">
        <v>95</v>
      </c>
    </row>
    <row r="14" spans="1:10" x14ac:dyDescent="0.25">
      <c r="B14" s="5" t="s">
        <v>109</v>
      </c>
      <c r="C14" s="5" t="s">
        <v>112</v>
      </c>
      <c r="D14" s="7">
        <v>46.666666666666664</v>
      </c>
      <c r="F14" s="7">
        <v>46.666666666666671</v>
      </c>
      <c r="G14" s="7">
        <v>90</v>
      </c>
      <c r="I14" s="5" t="s">
        <v>95</v>
      </c>
      <c r="J14" s="5" t="s">
        <v>95</v>
      </c>
    </row>
    <row r="15" spans="1:10" ht="15.75" thickBot="1" x14ac:dyDescent="0.3">
      <c r="B15" s="3" t="s">
        <v>111</v>
      </c>
      <c r="C15" s="3" t="s">
        <v>158</v>
      </c>
      <c r="D15" s="6">
        <v>6.6666666666666661</v>
      </c>
      <c r="F15" s="6">
        <v>6.6666666666666714</v>
      </c>
      <c r="G15" s="6">
        <v>90.000000000000014</v>
      </c>
      <c r="I15" s="3" t="s">
        <v>95</v>
      </c>
      <c r="J15" s="3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7E3C-F15D-46EB-9A63-9C4E056182DB}">
  <dimension ref="A1:G30"/>
  <sheetViews>
    <sheetView showGridLines="0" workbookViewId="0"/>
  </sheetViews>
  <sheetFormatPr baseColWidth="10" defaultRowHeight="15" x14ac:dyDescent="0.25"/>
  <cols>
    <col min="1" max="1" width="2.28515625" customWidth="1"/>
    <col min="2" max="2" width="6.140625" bestFit="1" customWidth="1"/>
    <col min="3" max="3" width="9.7109375" bestFit="1" customWidth="1"/>
    <col min="4" max="4" width="15.5703125" bestFit="1" customWidth="1"/>
    <col min="5" max="5" width="13.85546875" bestFit="1" customWidth="1"/>
    <col min="6" max="6" width="13.28515625" bestFit="1" customWidth="1"/>
    <col min="7" max="7" width="8" bestFit="1" customWidth="1"/>
  </cols>
  <sheetData>
    <row r="1" spans="1:5" x14ac:dyDescent="0.25">
      <c r="A1" s="2" t="s">
        <v>31</v>
      </c>
    </row>
    <row r="2" spans="1:5" x14ac:dyDescent="0.25">
      <c r="A2" s="2" t="s">
        <v>154</v>
      </c>
    </row>
    <row r="3" spans="1:5" x14ac:dyDescent="0.25">
      <c r="A3" s="2" t="s">
        <v>165</v>
      </c>
    </row>
    <row r="4" spans="1:5" x14ac:dyDescent="0.25">
      <c r="A4" s="2" t="s">
        <v>34</v>
      </c>
    </row>
    <row r="5" spans="1:5" x14ac:dyDescent="0.25">
      <c r="A5" s="2" t="s">
        <v>35</v>
      </c>
    </row>
    <row r="6" spans="1:5" x14ac:dyDescent="0.25">
      <c r="A6" s="2"/>
      <c r="B6" t="s">
        <v>36</v>
      </c>
    </row>
    <row r="7" spans="1:5" x14ac:dyDescent="0.25">
      <c r="A7" s="2"/>
      <c r="B7" t="s">
        <v>127</v>
      </c>
    </row>
    <row r="8" spans="1:5" x14ac:dyDescent="0.25">
      <c r="A8" s="2"/>
      <c r="B8" t="s">
        <v>128</v>
      </c>
    </row>
    <row r="9" spans="1:5" x14ac:dyDescent="0.25">
      <c r="A9" s="2" t="s">
        <v>39</v>
      </c>
    </row>
    <row r="10" spans="1:5" x14ac:dyDescent="0.25">
      <c r="B10" t="s">
        <v>40</v>
      </c>
    </row>
    <row r="11" spans="1:5" x14ac:dyDescent="0.25">
      <c r="B11" t="s">
        <v>41</v>
      </c>
    </row>
    <row r="14" spans="1:5" ht="15.75" thickBot="1" x14ac:dyDescent="0.3">
      <c r="A14" t="s">
        <v>42</v>
      </c>
    </row>
    <row r="15" spans="1:5" ht="15.75" thickBot="1" x14ac:dyDescent="0.3">
      <c r="B15" s="4" t="s">
        <v>43</v>
      </c>
      <c r="C15" s="4" t="s">
        <v>44</v>
      </c>
      <c r="D15" s="4" t="s">
        <v>45</v>
      </c>
      <c r="E15" s="4" t="s">
        <v>46</v>
      </c>
    </row>
    <row r="16" spans="1:5" ht="15.75" thickBot="1" x14ac:dyDescent="0.3">
      <c r="B16" s="3" t="s">
        <v>166</v>
      </c>
      <c r="C16" s="3" t="s">
        <v>156</v>
      </c>
      <c r="D16" s="6">
        <v>4133.333333333333</v>
      </c>
      <c r="E16" s="6">
        <v>90</v>
      </c>
    </row>
    <row r="19" spans="1:7" ht="15.75" thickBot="1" x14ac:dyDescent="0.3">
      <c r="A19" t="s">
        <v>47</v>
      </c>
    </row>
    <row r="20" spans="1:7" ht="15.75" thickBot="1" x14ac:dyDescent="0.3">
      <c r="B20" s="4" t="s">
        <v>43</v>
      </c>
      <c r="C20" s="4" t="s">
        <v>44</v>
      </c>
      <c r="D20" s="4" t="s">
        <v>45</v>
      </c>
      <c r="E20" s="4" t="s">
        <v>46</v>
      </c>
      <c r="F20" s="4" t="s">
        <v>48</v>
      </c>
    </row>
    <row r="21" spans="1:7" x14ac:dyDescent="0.25">
      <c r="B21" s="5" t="s">
        <v>167</v>
      </c>
      <c r="C21" s="5" t="s">
        <v>57</v>
      </c>
      <c r="D21" s="7">
        <v>33.333333333333329</v>
      </c>
      <c r="E21" s="7">
        <v>0</v>
      </c>
      <c r="F21" s="5" t="s">
        <v>58</v>
      </c>
    </row>
    <row r="22" spans="1:7" x14ac:dyDescent="0.25">
      <c r="B22" s="5" t="s">
        <v>168</v>
      </c>
      <c r="C22" s="5" t="s">
        <v>60</v>
      </c>
      <c r="D22" s="7">
        <v>0</v>
      </c>
      <c r="E22" s="7">
        <v>0</v>
      </c>
      <c r="F22" s="5" t="s">
        <v>58</v>
      </c>
    </row>
    <row r="23" spans="1:7" ht="15.75" thickBot="1" x14ac:dyDescent="0.3">
      <c r="B23" s="3" t="s">
        <v>169</v>
      </c>
      <c r="C23" s="3" t="s">
        <v>170</v>
      </c>
      <c r="D23" s="6">
        <v>13.333333333333336</v>
      </c>
      <c r="E23" s="6">
        <v>1.5</v>
      </c>
      <c r="F23" s="3" t="s">
        <v>58</v>
      </c>
    </row>
    <row r="26" spans="1:7" ht="15.75" thickBot="1" x14ac:dyDescent="0.3">
      <c r="A26" t="s">
        <v>49</v>
      </c>
    </row>
    <row r="27" spans="1:7" ht="15.75" thickBot="1" x14ac:dyDescent="0.3">
      <c r="B27" s="4" t="s">
        <v>43</v>
      </c>
      <c r="C27" s="4" t="s">
        <v>44</v>
      </c>
      <c r="D27" s="4" t="s">
        <v>50</v>
      </c>
      <c r="E27" s="4" t="s">
        <v>51</v>
      </c>
      <c r="F27" s="4" t="s">
        <v>52</v>
      </c>
      <c r="G27" s="4" t="s">
        <v>53</v>
      </c>
    </row>
    <row r="28" spans="1:7" x14ac:dyDescent="0.25">
      <c r="B28" s="5" t="s">
        <v>171</v>
      </c>
      <c r="C28" s="5" t="s">
        <v>159</v>
      </c>
      <c r="D28" s="7">
        <v>0</v>
      </c>
      <c r="E28" s="5" t="s">
        <v>172</v>
      </c>
      <c r="F28" s="5" t="s">
        <v>116</v>
      </c>
      <c r="G28" s="5">
        <v>2</v>
      </c>
    </row>
    <row r="29" spans="1:7" x14ac:dyDescent="0.25">
      <c r="B29" s="5" t="s">
        <v>173</v>
      </c>
      <c r="C29" s="5" t="s">
        <v>161</v>
      </c>
      <c r="D29" s="7">
        <v>1.5</v>
      </c>
      <c r="E29" s="5" t="s">
        <v>174</v>
      </c>
      <c r="F29" s="5" t="s">
        <v>70</v>
      </c>
      <c r="G29" s="5">
        <v>0</v>
      </c>
    </row>
    <row r="30" spans="1:7" ht="15.75" thickBot="1" x14ac:dyDescent="0.3">
      <c r="B30" s="3" t="s">
        <v>175</v>
      </c>
      <c r="C30" s="3" t="s">
        <v>163</v>
      </c>
      <c r="D30" s="6">
        <v>3</v>
      </c>
      <c r="E30" s="3" t="s">
        <v>176</v>
      </c>
      <c r="F30" s="3" t="s">
        <v>70</v>
      </c>
      <c r="G30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AC22-47DB-4E41-9D96-1E851F915368}">
  <dimension ref="A1:H18"/>
  <sheetViews>
    <sheetView showGridLines="0" workbookViewId="0"/>
  </sheetViews>
  <sheetFormatPr baseColWidth="10" defaultRowHeight="15" x14ac:dyDescent="0.25"/>
  <cols>
    <col min="1" max="1" width="2.28515625" customWidth="1"/>
    <col min="2" max="2" width="6.28515625" bestFit="1" customWidth="1"/>
    <col min="3" max="3" width="9.7109375" bestFit="1" customWidth="1"/>
    <col min="4" max="4" width="5.7109375" bestFit="1" customWidth="1"/>
    <col min="5" max="5" width="12.7109375" bestFit="1" customWidth="1"/>
    <col min="6" max="6" width="12.85546875" bestFit="1" customWidth="1"/>
    <col min="7" max="7" width="12" bestFit="1" customWidth="1"/>
    <col min="8" max="8" width="10.5703125" bestFit="1" customWidth="1"/>
  </cols>
  <sheetData>
    <row r="1" spans="1:8" x14ac:dyDescent="0.25">
      <c r="A1" s="2" t="s">
        <v>74</v>
      </c>
    </row>
    <row r="2" spans="1:8" x14ac:dyDescent="0.25">
      <c r="A2" s="2" t="s">
        <v>154</v>
      </c>
    </row>
    <row r="3" spans="1:8" x14ac:dyDescent="0.25">
      <c r="A3" s="2" t="s">
        <v>165</v>
      </c>
    </row>
    <row r="6" spans="1:8" ht="15.75" thickBot="1" x14ac:dyDescent="0.3">
      <c r="A6" t="s">
        <v>47</v>
      </c>
    </row>
    <row r="7" spans="1:8" x14ac:dyDescent="0.25">
      <c r="B7" s="8"/>
      <c r="C7" s="8"/>
      <c r="D7" s="8" t="s">
        <v>75</v>
      </c>
      <c r="E7" s="8" t="s">
        <v>77</v>
      </c>
      <c r="F7" s="8" t="s">
        <v>79</v>
      </c>
      <c r="G7" s="8" t="s">
        <v>81</v>
      </c>
      <c r="H7" s="8" t="s">
        <v>81</v>
      </c>
    </row>
    <row r="8" spans="1:8" ht="15.75" thickBot="1" x14ac:dyDescent="0.3">
      <c r="B8" s="9" t="s">
        <v>43</v>
      </c>
      <c r="C8" s="9" t="s">
        <v>44</v>
      </c>
      <c r="D8" s="9" t="s">
        <v>76</v>
      </c>
      <c r="E8" s="9" t="s">
        <v>78</v>
      </c>
      <c r="F8" s="9" t="s">
        <v>80</v>
      </c>
      <c r="G8" s="9" t="s">
        <v>82</v>
      </c>
      <c r="H8" s="9" t="s">
        <v>83</v>
      </c>
    </row>
    <row r="9" spans="1:8" x14ac:dyDescent="0.25">
      <c r="B9" s="5" t="s">
        <v>167</v>
      </c>
      <c r="C9" s="5" t="s">
        <v>57</v>
      </c>
      <c r="D9" s="5">
        <v>0</v>
      </c>
      <c r="E9" s="5">
        <v>0</v>
      </c>
      <c r="F9" s="5">
        <v>100</v>
      </c>
      <c r="G9" s="5">
        <v>20.000000000000014</v>
      </c>
      <c r="H9" s="5">
        <v>40</v>
      </c>
    </row>
    <row r="10" spans="1:8" x14ac:dyDescent="0.25">
      <c r="B10" s="5" t="s">
        <v>168</v>
      </c>
      <c r="C10" s="5" t="s">
        <v>60</v>
      </c>
      <c r="D10" s="5">
        <v>0</v>
      </c>
      <c r="E10" s="5">
        <v>-26.666666666666671</v>
      </c>
      <c r="F10" s="5">
        <v>80</v>
      </c>
      <c r="G10" s="5">
        <v>26.666666666666671</v>
      </c>
      <c r="H10" s="5">
        <v>1E+30</v>
      </c>
    </row>
    <row r="11" spans="1:8" ht="15.75" thickBot="1" x14ac:dyDescent="0.3">
      <c r="B11" s="3" t="s">
        <v>169</v>
      </c>
      <c r="C11" s="3" t="s">
        <v>170</v>
      </c>
      <c r="D11" s="3">
        <v>1.5</v>
      </c>
      <c r="E11" s="3">
        <v>0</v>
      </c>
      <c r="F11" s="3">
        <v>60</v>
      </c>
      <c r="G11" s="3">
        <v>140</v>
      </c>
      <c r="H11" s="3">
        <v>10.000000000000007</v>
      </c>
    </row>
    <row r="13" spans="1:8" ht="15.75" thickBot="1" x14ac:dyDescent="0.3">
      <c r="A13" t="s">
        <v>49</v>
      </c>
    </row>
    <row r="14" spans="1:8" x14ac:dyDescent="0.25">
      <c r="B14" s="8"/>
      <c r="C14" s="8"/>
      <c r="D14" s="8" t="s">
        <v>75</v>
      </c>
      <c r="E14" s="8" t="s">
        <v>84</v>
      </c>
      <c r="F14" s="8" t="s">
        <v>86</v>
      </c>
      <c r="G14" s="8" t="s">
        <v>81</v>
      </c>
      <c r="H14" s="8" t="s">
        <v>81</v>
      </c>
    </row>
    <row r="15" spans="1:8" ht="15.75" thickBot="1" x14ac:dyDescent="0.3">
      <c r="B15" s="9" t="s">
        <v>43</v>
      </c>
      <c r="C15" s="9" t="s">
        <v>44</v>
      </c>
      <c r="D15" s="9" t="s">
        <v>76</v>
      </c>
      <c r="E15" s="9" t="s">
        <v>85</v>
      </c>
      <c r="F15" s="9" t="s">
        <v>87</v>
      </c>
      <c r="G15" s="9" t="s">
        <v>82</v>
      </c>
      <c r="H15" s="9" t="s">
        <v>83</v>
      </c>
    </row>
    <row r="16" spans="1:8" x14ac:dyDescent="0.25">
      <c r="B16" s="5" t="s">
        <v>171</v>
      </c>
      <c r="C16" s="5" t="s">
        <v>159</v>
      </c>
      <c r="D16" s="5">
        <v>0</v>
      </c>
      <c r="E16" s="5">
        <v>0</v>
      </c>
      <c r="F16" s="5">
        <v>2</v>
      </c>
      <c r="G16" s="5">
        <v>1E+30</v>
      </c>
      <c r="H16" s="5">
        <v>2</v>
      </c>
    </row>
    <row r="17" spans="2:8" x14ac:dyDescent="0.25">
      <c r="B17" s="5" t="s">
        <v>173</v>
      </c>
      <c r="C17" s="5" t="s">
        <v>161</v>
      </c>
      <c r="D17" s="5">
        <v>1.5</v>
      </c>
      <c r="E17" s="5">
        <v>46.666666666666657</v>
      </c>
      <c r="F17" s="5">
        <v>1.5</v>
      </c>
      <c r="G17" s="5">
        <v>1</v>
      </c>
      <c r="H17" s="5">
        <v>0</v>
      </c>
    </row>
    <row r="18" spans="2:8" ht="15.75" thickBot="1" x14ac:dyDescent="0.3">
      <c r="B18" s="3" t="s">
        <v>175</v>
      </c>
      <c r="C18" s="3" t="s">
        <v>163</v>
      </c>
      <c r="D18" s="3">
        <v>3</v>
      </c>
      <c r="E18" s="3">
        <v>6.6666666666666714</v>
      </c>
      <c r="F18" s="3">
        <v>3</v>
      </c>
      <c r="G18" s="3">
        <v>0</v>
      </c>
      <c r="H18" s="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A6C6-2E36-41FB-BC7E-414AC17375CA}">
  <dimension ref="A1:J15"/>
  <sheetViews>
    <sheetView showGridLines="0" workbookViewId="0">
      <selection sqref="A1:A3"/>
    </sheetView>
  </sheetViews>
  <sheetFormatPr baseColWidth="10" defaultRowHeight="15" x14ac:dyDescent="0.25"/>
  <cols>
    <col min="1" max="1" width="2.28515625" customWidth="1"/>
    <col min="2" max="2" width="6" bestFit="1" customWidth="1"/>
    <col min="3" max="3" width="8.425781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88</v>
      </c>
    </row>
    <row r="2" spans="1:10" x14ac:dyDescent="0.25">
      <c r="A2" s="2" t="s">
        <v>154</v>
      </c>
    </row>
    <row r="3" spans="1:10" x14ac:dyDescent="0.25">
      <c r="A3" s="2" t="s">
        <v>177</v>
      </c>
    </row>
    <row r="5" spans="1:10" ht="15.75" thickBot="1" x14ac:dyDescent="0.3"/>
    <row r="6" spans="1:10" x14ac:dyDescent="0.25">
      <c r="B6" s="8"/>
      <c r="C6" s="8" t="s">
        <v>79</v>
      </c>
      <c r="D6" s="8"/>
    </row>
    <row r="7" spans="1:10" ht="15.75" thickBot="1" x14ac:dyDescent="0.3">
      <c r="B7" s="9" t="s">
        <v>43</v>
      </c>
      <c r="C7" s="9" t="s">
        <v>44</v>
      </c>
      <c r="D7" s="9" t="s">
        <v>76</v>
      </c>
    </row>
    <row r="8" spans="1:10" ht="15.75" thickBot="1" x14ac:dyDescent="0.3">
      <c r="B8" s="3" t="s">
        <v>166</v>
      </c>
      <c r="C8" s="3" t="s">
        <v>156</v>
      </c>
      <c r="D8" s="6">
        <v>90</v>
      </c>
    </row>
    <row r="10" spans="1:10" ht="15.75" thickBot="1" x14ac:dyDescent="0.3"/>
    <row r="11" spans="1:10" x14ac:dyDescent="0.25">
      <c r="B11" s="8"/>
      <c r="C11" s="8" t="s">
        <v>90</v>
      </c>
      <c r="D11" s="8"/>
      <c r="F11" s="8" t="s">
        <v>91</v>
      </c>
      <c r="G11" s="8" t="s">
        <v>79</v>
      </c>
      <c r="I11" s="8" t="s">
        <v>94</v>
      </c>
      <c r="J11" s="8" t="s">
        <v>79</v>
      </c>
    </row>
    <row r="12" spans="1:10" ht="15.75" thickBot="1" x14ac:dyDescent="0.3">
      <c r="B12" s="9" t="s">
        <v>43</v>
      </c>
      <c r="C12" s="9" t="s">
        <v>44</v>
      </c>
      <c r="D12" s="9" t="s">
        <v>76</v>
      </c>
      <c r="F12" s="9" t="s">
        <v>92</v>
      </c>
      <c r="G12" s="9" t="s">
        <v>93</v>
      </c>
      <c r="I12" s="9" t="s">
        <v>92</v>
      </c>
      <c r="J12" s="9" t="s">
        <v>93</v>
      </c>
    </row>
    <row r="13" spans="1:10" x14ac:dyDescent="0.25">
      <c r="B13" s="5" t="s">
        <v>167</v>
      </c>
      <c r="C13" s="5" t="s">
        <v>57</v>
      </c>
      <c r="D13" s="7">
        <v>0</v>
      </c>
      <c r="F13" s="7">
        <v>0</v>
      </c>
      <c r="G13" s="7">
        <v>90</v>
      </c>
      <c r="I13" s="7">
        <v>0</v>
      </c>
      <c r="J13" s="7">
        <v>90</v>
      </c>
    </row>
    <row r="14" spans="1:10" x14ac:dyDescent="0.25">
      <c r="B14" s="5" t="s">
        <v>168</v>
      </c>
      <c r="C14" s="5" t="s">
        <v>60</v>
      </c>
      <c r="D14" s="7">
        <v>0</v>
      </c>
      <c r="F14" s="7">
        <v>0</v>
      </c>
      <c r="G14" s="7">
        <v>90</v>
      </c>
      <c r="I14" s="7">
        <v>0</v>
      </c>
      <c r="J14" s="7">
        <v>90</v>
      </c>
    </row>
    <row r="15" spans="1:10" ht="15.75" thickBot="1" x14ac:dyDescent="0.3">
      <c r="B15" s="3" t="s">
        <v>169</v>
      </c>
      <c r="C15" s="3" t="s">
        <v>170</v>
      </c>
      <c r="D15" s="6">
        <v>1.5</v>
      </c>
      <c r="F15" s="6">
        <v>0</v>
      </c>
      <c r="G15" s="6">
        <v>0</v>
      </c>
      <c r="I15" s="6">
        <v>1.5</v>
      </c>
      <c r="J15" s="6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2244-6DCF-4FC7-959A-D4D59374683C}">
  <dimension ref="A1:M18"/>
  <sheetViews>
    <sheetView zoomScale="180" zoomScaleNormal="180" workbookViewId="0">
      <selection activeCell="K13" sqref="K13"/>
    </sheetView>
  </sheetViews>
  <sheetFormatPr baseColWidth="10" defaultRowHeight="15" x14ac:dyDescent="0.25"/>
  <cols>
    <col min="2" max="2" width="12.5703125" bestFit="1" customWidth="1"/>
    <col min="3" max="3" width="13.5703125" bestFit="1" customWidth="1"/>
    <col min="4" max="4" width="4" bestFit="1" customWidth="1"/>
    <col min="7" max="7" width="7" bestFit="1" customWidth="1"/>
    <col min="9" max="10" width="12.28515625" bestFit="1" customWidth="1"/>
  </cols>
  <sheetData>
    <row r="1" spans="1:13" x14ac:dyDescent="0.25">
      <c r="A1" t="s">
        <v>130</v>
      </c>
    </row>
    <row r="2" spans="1:13" x14ac:dyDescent="0.25">
      <c r="G2" t="s">
        <v>17</v>
      </c>
      <c r="H2" t="s">
        <v>101</v>
      </c>
      <c r="I2" t="s">
        <v>102</v>
      </c>
      <c r="J2" t="s">
        <v>151</v>
      </c>
    </row>
    <row r="3" spans="1:13" x14ac:dyDescent="0.25">
      <c r="A3" t="s">
        <v>131</v>
      </c>
      <c r="C3" t="s">
        <v>132</v>
      </c>
      <c r="G3" t="s">
        <v>22</v>
      </c>
      <c r="H3">
        <v>0</v>
      </c>
      <c r="I3">
        <v>46.666666666666664</v>
      </c>
      <c r="J3">
        <v>6.6666666666666661</v>
      </c>
      <c r="K3" t="s">
        <v>152</v>
      </c>
      <c r="L3" t="s">
        <v>29</v>
      </c>
      <c r="M3" t="s">
        <v>153</v>
      </c>
    </row>
    <row r="4" spans="1:13" x14ac:dyDescent="0.25">
      <c r="G4" t="s">
        <v>23</v>
      </c>
      <c r="H4">
        <v>2</v>
      </c>
      <c r="I4">
        <v>1.5</v>
      </c>
      <c r="J4">
        <v>3</v>
      </c>
      <c r="K4">
        <f>+SUMPRODUCT($H$3:$J$3,H4:J4)</f>
        <v>90</v>
      </c>
    </row>
    <row r="5" spans="1:13" x14ac:dyDescent="0.25">
      <c r="A5" t="s">
        <v>133</v>
      </c>
      <c r="G5" t="s">
        <v>134</v>
      </c>
      <c r="H5">
        <v>3</v>
      </c>
      <c r="I5">
        <v>2</v>
      </c>
      <c r="J5">
        <v>1</v>
      </c>
      <c r="K5">
        <f t="shared" ref="K5:K7" si="0">+SUMPRODUCT($H$3:$J$3,H5:J5)</f>
        <v>100</v>
      </c>
      <c r="L5" t="s">
        <v>140</v>
      </c>
      <c r="M5">
        <v>100</v>
      </c>
    </row>
    <row r="6" spans="1:13" x14ac:dyDescent="0.25">
      <c r="A6" t="s">
        <v>134</v>
      </c>
      <c r="B6" t="s">
        <v>137</v>
      </c>
      <c r="C6" t="s">
        <v>140</v>
      </c>
      <c r="D6">
        <v>100</v>
      </c>
      <c r="G6" t="s">
        <v>135</v>
      </c>
      <c r="H6">
        <v>1</v>
      </c>
      <c r="I6">
        <v>2</v>
      </c>
      <c r="J6">
        <v>2</v>
      </c>
      <c r="K6">
        <f t="shared" si="0"/>
        <v>106.66666666666666</v>
      </c>
      <c r="L6" t="s">
        <v>140</v>
      </c>
      <c r="M6">
        <v>80</v>
      </c>
    </row>
    <row r="7" spans="1:13" x14ac:dyDescent="0.25">
      <c r="A7" t="s">
        <v>135</v>
      </c>
      <c r="B7" t="s">
        <v>138</v>
      </c>
      <c r="C7" t="s">
        <v>140</v>
      </c>
      <c r="D7">
        <v>80</v>
      </c>
      <c r="G7" t="s">
        <v>136</v>
      </c>
      <c r="H7">
        <v>0</v>
      </c>
      <c r="I7">
        <v>1</v>
      </c>
      <c r="J7">
        <v>2</v>
      </c>
      <c r="K7">
        <f t="shared" si="0"/>
        <v>60</v>
      </c>
      <c r="L7" t="s">
        <v>140</v>
      </c>
      <c r="M7">
        <v>60</v>
      </c>
    </row>
    <row r="8" spans="1:13" x14ac:dyDescent="0.25">
      <c r="A8" t="s">
        <v>136</v>
      </c>
      <c r="B8" t="s">
        <v>139</v>
      </c>
      <c r="C8" t="s">
        <v>140</v>
      </c>
      <c r="D8">
        <v>60</v>
      </c>
    </row>
    <row r="9" spans="1:13" x14ac:dyDescent="0.25">
      <c r="A9" t="s">
        <v>141</v>
      </c>
    </row>
    <row r="11" spans="1:13" x14ac:dyDescent="0.25">
      <c r="A11" t="s">
        <v>142</v>
      </c>
      <c r="G11" t="s">
        <v>17</v>
      </c>
      <c r="H11" t="s">
        <v>18</v>
      </c>
      <c r="I11" t="s">
        <v>19</v>
      </c>
      <c r="J11" t="s">
        <v>20</v>
      </c>
    </row>
    <row r="12" spans="1:13" x14ac:dyDescent="0.25">
      <c r="A12" t="s">
        <v>143</v>
      </c>
      <c r="G12" t="s">
        <v>22</v>
      </c>
      <c r="H12">
        <v>0</v>
      </c>
      <c r="I12">
        <v>0</v>
      </c>
      <c r="J12">
        <v>1.5</v>
      </c>
      <c r="K12" t="s">
        <v>152</v>
      </c>
      <c r="L12" t="s">
        <v>29</v>
      </c>
      <c r="M12" t="s">
        <v>153</v>
      </c>
    </row>
    <row r="13" spans="1:13" x14ac:dyDescent="0.25">
      <c r="G13" t="s">
        <v>23</v>
      </c>
      <c r="H13">
        <v>100</v>
      </c>
      <c r="I13">
        <v>80</v>
      </c>
      <c r="J13">
        <v>60</v>
      </c>
      <c r="K13">
        <f>+SUMPRODUCT($H$12:$J$12,H13:J13)</f>
        <v>90</v>
      </c>
    </row>
    <row r="14" spans="1:13" x14ac:dyDescent="0.25">
      <c r="A14" t="s">
        <v>133</v>
      </c>
      <c r="G14" t="s">
        <v>134</v>
      </c>
      <c r="H14">
        <v>3</v>
      </c>
      <c r="I14">
        <v>1</v>
      </c>
      <c r="J14">
        <v>0</v>
      </c>
      <c r="K14">
        <f t="shared" ref="K14:K16" si="1">+SUMPRODUCT($H$12:$J$12,H14:J14)</f>
        <v>0</v>
      </c>
      <c r="L14" t="s">
        <v>5</v>
      </c>
      <c r="M14">
        <v>2</v>
      </c>
    </row>
    <row r="15" spans="1:13" x14ac:dyDescent="0.25">
      <c r="A15" t="s">
        <v>144</v>
      </c>
      <c r="B15" t="s">
        <v>147</v>
      </c>
      <c r="C15" t="s">
        <v>5</v>
      </c>
      <c r="D15">
        <v>2</v>
      </c>
      <c r="G15" t="s">
        <v>135</v>
      </c>
      <c r="H15">
        <v>2</v>
      </c>
      <c r="I15">
        <v>2</v>
      </c>
      <c r="J15">
        <v>1</v>
      </c>
      <c r="K15">
        <f t="shared" si="1"/>
        <v>1.5</v>
      </c>
      <c r="L15" t="s">
        <v>5</v>
      </c>
      <c r="M15">
        <v>1.5</v>
      </c>
    </row>
    <row r="16" spans="1:13" x14ac:dyDescent="0.25">
      <c r="A16" t="s">
        <v>145</v>
      </c>
      <c r="B16" t="s">
        <v>148</v>
      </c>
      <c r="C16" t="s">
        <v>5</v>
      </c>
      <c r="D16">
        <v>1.5</v>
      </c>
      <c r="G16" t="s">
        <v>136</v>
      </c>
      <c r="H16">
        <v>1</v>
      </c>
      <c r="I16">
        <v>2</v>
      </c>
      <c r="J16">
        <v>2</v>
      </c>
      <c r="K16">
        <f t="shared" si="1"/>
        <v>3</v>
      </c>
      <c r="L16" t="s">
        <v>5</v>
      </c>
      <c r="M16">
        <v>3</v>
      </c>
    </row>
    <row r="17" spans="1:4" x14ac:dyDescent="0.25">
      <c r="A17" t="s">
        <v>146</v>
      </c>
      <c r="B17" t="s">
        <v>149</v>
      </c>
      <c r="C17" t="s">
        <v>5</v>
      </c>
      <c r="D17">
        <v>3</v>
      </c>
    </row>
    <row r="18" spans="1:4" x14ac:dyDescent="0.25">
      <c r="A18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4F94-8FF1-40EB-8042-502E0890DFCC}">
  <dimension ref="A1:J17"/>
  <sheetViews>
    <sheetView showGridLines="0" workbookViewId="0">
      <selection sqref="A1:A3"/>
    </sheetView>
  </sheetViews>
  <sheetFormatPr baseColWidth="10" defaultRowHeight="15" x14ac:dyDescent="0.25"/>
  <cols>
    <col min="1" max="1" width="2.28515625" customWidth="1"/>
    <col min="2" max="2" width="6" bestFit="1" customWidth="1"/>
    <col min="3" max="3" width="8.425781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88</v>
      </c>
    </row>
    <row r="2" spans="1:10" x14ac:dyDescent="0.25">
      <c r="A2" s="2" t="s">
        <v>32</v>
      </c>
    </row>
    <row r="3" spans="1:10" x14ac:dyDescent="0.25">
      <c r="A3" s="2" t="s">
        <v>89</v>
      </c>
    </row>
    <row r="5" spans="1:10" ht="15.75" thickBot="1" x14ac:dyDescent="0.3"/>
    <row r="6" spans="1:10" x14ac:dyDescent="0.25">
      <c r="B6" s="8"/>
      <c r="C6" s="8" t="s">
        <v>79</v>
      </c>
      <c r="D6" s="8"/>
    </row>
    <row r="7" spans="1:10" ht="15.75" thickBot="1" x14ac:dyDescent="0.3">
      <c r="B7" s="9" t="s">
        <v>43</v>
      </c>
      <c r="C7" s="9" t="s">
        <v>44</v>
      </c>
      <c r="D7" s="9" t="s">
        <v>76</v>
      </c>
    </row>
    <row r="8" spans="1:10" ht="15.75" thickBot="1" x14ac:dyDescent="0.3">
      <c r="B8" s="3" t="s">
        <v>54</v>
      </c>
      <c r="C8" s="3" t="s">
        <v>55</v>
      </c>
      <c r="D8" s="6">
        <v>3222.2222222222222</v>
      </c>
    </row>
    <row r="10" spans="1:10" ht="15.75" thickBot="1" x14ac:dyDescent="0.3"/>
    <row r="11" spans="1:10" x14ac:dyDescent="0.25">
      <c r="B11" s="8"/>
      <c r="C11" s="8" t="s">
        <v>90</v>
      </c>
      <c r="D11" s="8"/>
      <c r="F11" s="8" t="s">
        <v>91</v>
      </c>
      <c r="G11" s="8" t="s">
        <v>79</v>
      </c>
      <c r="I11" s="8" t="s">
        <v>94</v>
      </c>
      <c r="J11" s="8" t="s">
        <v>79</v>
      </c>
    </row>
    <row r="12" spans="1:10" ht="15.75" thickBot="1" x14ac:dyDescent="0.3">
      <c r="B12" s="9" t="s">
        <v>43</v>
      </c>
      <c r="C12" s="9" t="s">
        <v>44</v>
      </c>
      <c r="D12" s="9" t="s">
        <v>76</v>
      </c>
      <c r="F12" s="9" t="s">
        <v>92</v>
      </c>
      <c r="G12" s="9" t="s">
        <v>93</v>
      </c>
      <c r="I12" s="9" t="s">
        <v>92</v>
      </c>
      <c r="J12" s="9" t="s">
        <v>93</v>
      </c>
    </row>
    <row r="13" spans="1:10" x14ac:dyDescent="0.25">
      <c r="B13" s="5" t="s">
        <v>56</v>
      </c>
      <c r="C13" s="5" t="s">
        <v>57</v>
      </c>
      <c r="D13" s="7">
        <v>0</v>
      </c>
      <c r="F13" s="7">
        <v>0</v>
      </c>
      <c r="G13" s="7">
        <v>3222.2222222222222</v>
      </c>
      <c r="I13" s="5" t="s">
        <v>95</v>
      </c>
      <c r="J13" s="5" t="s">
        <v>95</v>
      </c>
    </row>
    <row r="14" spans="1:10" x14ac:dyDescent="0.25">
      <c r="B14" s="5" t="s">
        <v>59</v>
      </c>
      <c r="C14" s="5" t="s">
        <v>60</v>
      </c>
      <c r="D14" s="7">
        <v>0</v>
      </c>
      <c r="F14" s="7">
        <v>0</v>
      </c>
      <c r="G14" s="7">
        <v>3222.2222222222222</v>
      </c>
      <c r="I14" s="5" t="s">
        <v>95</v>
      </c>
      <c r="J14" s="5" t="s">
        <v>95</v>
      </c>
    </row>
    <row r="15" spans="1:10" x14ac:dyDescent="0.25">
      <c r="B15" s="5" t="s">
        <v>61</v>
      </c>
      <c r="C15" s="5" t="s">
        <v>62</v>
      </c>
      <c r="D15" s="7">
        <v>44.444444444444443</v>
      </c>
      <c r="F15" s="7">
        <v>0</v>
      </c>
      <c r="G15" s="7">
        <v>-333.33333333333331</v>
      </c>
      <c r="I15" s="7">
        <v>44.444444444444443</v>
      </c>
      <c r="J15" s="7">
        <v>3222.2222222222222</v>
      </c>
    </row>
    <row r="16" spans="1:10" x14ac:dyDescent="0.25">
      <c r="B16" s="5" t="s">
        <v>63</v>
      </c>
      <c r="C16" s="5" t="s">
        <v>64</v>
      </c>
      <c r="D16" s="7">
        <v>0</v>
      </c>
      <c r="F16" s="7">
        <v>0</v>
      </c>
      <c r="G16" s="7">
        <v>3222.2222222222222</v>
      </c>
      <c r="I16" s="5" t="s">
        <v>95</v>
      </c>
      <c r="J16" s="5" t="s">
        <v>95</v>
      </c>
    </row>
    <row r="17" spans="2:10" ht="15.75" thickBot="1" x14ac:dyDescent="0.3">
      <c r="B17" s="3" t="s">
        <v>65</v>
      </c>
      <c r="C17" s="3" t="s">
        <v>66</v>
      </c>
      <c r="D17" s="6">
        <v>55.55555555555555</v>
      </c>
      <c r="F17" s="6">
        <v>55.555555555555543</v>
      </c>
      <c r="G17" s="6">
        <v>3222.2222222222226</v>
      </c>
      <c r="I17" s="6">
        <v>55.555555555555543</v>
      </c>
      <c r="J17" s="6">
        <v>3222.2222222222226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BEB6-596C-40AC-9CB1-A454FAD9A9DB}">
  <dimension ref="A1:G30"/>
  <sheetViews>
    <sheetView showGridLines="0" workbookViewId="0"/>
  </sheetViews>
  <sheetFormatPr baseColWidth="10" defaultRowHeight="15" x14ac:dyDescent="0.25"/>
  <cols>
    <col min="1" max="1" width="2.28515625" customWidth="1"/>
    <col min="2" max="2" width="6" bestFit="1" customWidth="1"/>
    <col min="3" max="3" width="16.85546875" bestFit="1" customWidth="1"/>
    <col min="4" max="4" width="15.5703125" bestFit="1" customWidth="1"/>
    <col min="5" max="5" width="12" bestFit="1" customWidth="1"/>
    <col min="6" max="6" width="13.28515625" bestFit="1" customWidth="1"/>
    <col min="7" max="7" width="12" bestFit="1" customWidth="1"/>
  </cols>
  <sheetData>
    <row r="1" spans="1:5" x14ac:dyDescent="0.25">
      <c r="A1" s="2" t="s">
        <v>31</v>
      </c>
    </row>
    <row r="2" spans="1:5" x14ac:dyDescent="0.25">
      <c r="A2" s="2" t="s">
        <v>32</v>
      </c>
    </row>
    <row r="3" spans="1:5" x14ac:dyDescent="0.25">
      <c r="A3" s="2" t="s">
        <v>126</v>
      </c>
    </row>
    <row r="4" spans="1:5" x14ac:dyDescent="0.25">
      <c r="A4" s="2" t="s">
        <v>34</v>
      </c>
    </row>
    <row r="5" spans="1:5" x14ac:dyDescent="0.25">
      <c r="A5" s="2" t="s">
        <v>35</v>
      </c>
    </row>
    <row r="6" spans="1:5" x14ac:dyDescent="0.25">
      <c r="A6" s="2"/>
      <c r="B6" t="s">
        <v>36</v>
      </c>
    </row>
    <row r="7" spans="1:5" x14ac:dyDescent="0.25">
      <c r="A7" s="2"/>
      <c r="B7" t="s">
        <v>127</v>
      </c>
    </row>
    <row r="8" spans="1:5" x14ac:dyDescent="0.25">
      <c r="A8" s="2"/>
      <c r="B8" t="s">
        <v>128</v>
      </c>
    </row>
    <row r="9" spans="1:5" x14ac:dyDescent="0.25">
      <c r="A9" s="2" t="s">
        <v>39</v>
      </c>
    </row>
    <row r="10" spans="1:5" x14ac:dyDescent="0.25">
      <c r="B10" t="s">
        <v>40</v>
      </c>
    </row>
    <row r="11" spans="1:5" x14ac:dyDescent="0.25">
      <c r="B11" t="s">
        <v>41</v>
      </c>
    </row>
    <row r="14" spans="1:5" ht="15.75" thickBot="1" x14ac:dyDescent="0.3">
      <c r="A14" t="s">
        <v>108</v>
      </c>
    </row>
    <row r="15" spans="1:5" ht="15.75" thickBot="1" x14ac:dyDescent="0.3">
      <c r="B15" s="4" t="s">
        <v>43</v>
      </c>
      <c r="C15" s="4" t="s">
        <v>44</v>
      </c>
      <c r="D15" s="4" t="s">
        <v>45</v>
      </c>
      <c r="E15" s="4" t="s">
        <v>46</v>
      </c>
    </row>
    <row r="16" spans="1:5" ht="15.75" thickBot="1" x14ac:dyDescent="0.3">
      <c r="B16" s="3" t="s">
        <v>129</v>
      </c>
      <c r="C16" s="3" t="s">
        <v>55</v>
      </c>
      <c r="D16" s="6">
        <v>800</v>
      </c>
      <c r="E16" s="6">
        <v>3222.2222222222222</v>
      </c>
    </row>
    <row r="19" spans="1:7" ht="15.75" thickBot="1" x14ac:dyDescent="0.3">
      <c r="A19" t="s">
        <v>47</v>
      </c>
    </row>
    <row r="20" spans="1:7" ht="15.75" thickBot="1" x14ac:dyDescent="0.3">
      <c r="B20" s="4" t="s">
        <v>43</v>
      </c>
      <c r="C20" s="4" t="s">
        <v>44</v>
      </c>
      <c r="D20" s="4" t="s">
        <v>45</v>
      </c>
      <c r="E20" s="4" t="s">
        <v>46</v>
      </c>
      <c r="F20" s="4" t="s">
        <v>48</v>
      </c>
    </row>
    <row r="21" spans="1:7" x14ac:dyDescent="0.25">
      <c r="B21" s="5" t="s">
        <v>109</v>
      </c>
      <c r="C21" s="5" t="s">
        <v>110</v>
      </c>
      <c r="D21" s="7">
        <v>1</v>
      </c>
      <c r="E21" s="7">
        <v>7.7777777777777777</v>
      </c>
      <c r="F21" s="5" t="s">
        <v>58</v>
      </c>
    </row>
    <row r="22" spans="1:7" ht="15.75" thickBot="1" x14ac:dyDescent="0.3">
      <c r="B22" s="3" t="s">
        <v>111</v>
      </c>
      <c r="C22" s="3" t="s">
        <v>112</v>
      </c>
      <c r="D22" s="6">
        <v>1</v>
      </c>
      <c r="E22" s="6">
        <v>1.7777777777777777</v>
      </c>
      <c r="F22" s="3" t="s">
        <v>58</v>
      </c>
    </row>
    <row r="25" spans="1:7" ht="15.75" thickBot="1" x14ac:dyDescent="0.3">
      <c r="A25" t="s">
        <v>49</v>
      </c>
    </row>
    <row r="26" spans="1:7" ht="15.75" thickBot="1" x14ac:dyDescent="0.3">
      <c r="B26" s="4" t="s">
        <v>43</v>
      </c>
      <c r="C26" s="4" t="s">
        <v>44</v>
      </c>
      <c r="D26" s="4" t="s">
        <v>50</v>
      </c>
      <c r="E26" s="4" t="s">
        <v>51</v>
      </c>
      <c r="F26" s="4" t="s">
        <v>52</v>
      </c>
      <c r="G26" s="4" t="s">
        <v>53</v>
      </c>
    </row>
    <row r="27" spans="1:7" x14ac:dyDescent="0.25">
      <c r="B27" s="5" t="s">
        <v>113</v>
      </c>
      <c r="C27" s="5" t="s">
        <v>114</v>
      </c>
      <c r="D27" s="7">
        <v>7.7777777777777777</v>
      </c>
      <c r="E27" s="5" t="s">
        <v>115</v>
      </c>
      <c r="F27" s="5" t="s">
        <v>116</v>
      </c>
      <c r="G27" s="5">
        <v>4.2222222222222223</v>
      </c>
    </row>
    <row r="28" spans="1:7" x14ac:dyDescent="0.25">
      <c r="B28" s="5" t="s">
        <v>117</v>
      </c>
      <c r="C28" s="5" t="s">
        <v>118</v>
      </c>
      <c r="D28" s="7">
        <v>1.7777777777777777</v>
      </c>
      <c r="E28" s="5" t="s">
        <v>119</v>
      </c>
      <c r="F28" s="5" t="s">
        <v>116</v>
      </c>
      <c r="G28" s="5">
        <v>4.2222222222222223</v>
      </c>
    </row>
    <row r="29" spans="1:7" x14ac:dyDescent="0.25">
      <c r="B29" s="5" t="s">
        <v>120</v>
      </c>
      <c r="C29" s="5" t="s">
        <v>121</v>
      </c>
      <c r="D29" s="7">
        <v>80</v>
      </c>
      <c r="E29" s="5" t="s">
        <v>122</v>
      </c>
      <c r="F29" s="5" t="s">
        <v>70</v>
      </c>
      <c r="G29" s="5">
        <v>0</v>
      </c>
    </row>
    <row r="30" spans="1:7" ht="15.75" thickBot="1" x14ac:dyDescent="0.3">
      <c r="B30" s="3" t="s">
        <v>123</v>
      </c>
      <c r="C30" s="3" t="s">
        <v>124</v>
      </c>
      <c r="D30" s="6">
        <v>6</v>
      </c>
      <c r="E30" s="3" t="s">
        <v>125</v>
      </c>
      <c r="F30" s="3" t="s">
        <v>70</v>
      </c>
      <c r="G30" s="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CE61-E821-4BE4-82F8-30CA84751240}">
  <dimension ref="A1:H18"/>
  <sheetViews>
    <sheetView showGridLines="0" topLeftCell="A4" zoomScale="170" zoomScaleNormal="170" workbookViewId="0">
      <selection activeCell="I20" sqref="I20"/>
    </sheetView>
  </sheetViews>
  <sheetFormatPr baseColWidth="10" defaultRowHeight="15" x14ac:dyDescent="0.25"/>
  <cols>
    <col min="1" max="1" width="2.28515625" customWidth="1"/>
    <col min="2" max="2" width="6" bestFit="1" customWidth="1"/>
    <col min="3" max="3" width="16.85546875" bestFit="1" customWidth="1"/>
    <col min="4" max="4" width="12" bestFit="1" customWidth="1"/>
    <col min="5" max="5" width="12.7109375" bestFit="1" customWidth="1"/>
    <col min="6" max="6" width="12.85546875" bestFit="1" customWidth="1"/>
    <col min="7" max="7" width="10.5703125" bestFit="1" customWidth="1"/>
    <col min="8" max="8" width="12" bestFit="1" customWidth="1"/>
  </cols>
  <sheetData>
    <row r="1" spans="1:8" x14ac:dyDescent="0.25">
      <c r="A1" s="2" t="s">
        <v>74</v>
      </c>
    </row>
    <row r="2" spans="1:8" x14ac:dyDescent="0.25">
      <c r="A2" s="2" t="s">
        <v>32</v>
      </c>
    </row>
    <row r="3" spans="1:8" x14ac:dyDescent="0.25">
      <c r="A3" s="2" t="s">
        <v>126</v>
      </c>
    </row>
    <row r="6" spans="1:8" ht="15.75" thickBot="1" x14ac:dyDescent="0.3">
      <c r="A6" t="s">
        <v>47</v>
      </c>
    </row>
    <row r="7" spans="1:8" x14ac:dyDescent="0.25">
      <c r="B7" s="8"/>
      <c r="C7" s="8"/>
      <c r="D7" s="8" t="s">
        <v>75</v>
      </c>
      <c r="E7" s="8" t="s">
        <v>77</v>
      </c>
      <c r="F7" s="8" t="s">
        <v>79</v>
      </c>
      <c r="G7" s="8" t="s">
        <v>81</v>
      </c>
      <c r="H7" s="8" t="s">
        <v>81</v>
      </c>
    </row>
    <row r="8" spans="1:8" ht="15.75" thickBot="1" x14ac:dyDescent="0.3">
      <c r="B8" s="9" t="s">
        <v>43</v>
      </c>
      <c r="C8" s="9" t="s">
        <v>44</v>
      </c>
      <c r="D8" s="9" t="s">
        <v>76</v>
      </c>
      <c r="E8" s="9" t="s">
        <v>78</v>
      </c>
      <c r="F8" s="9" t="s">
        <v>80</v>
      </c>
      <c r="G8" s="9" t="s">
        <v>82</v>
      </c>
      <c r="H8" s="9" t="s">
        <v>83</v>
      </c>
    </row>
    <row r="9" spans="1:8" x14ac:dyDescent="0.25">
      <c r="B9" s="5" t="s">
        <v>109</v>
      </c>
      <c r="C9" s="5" t="s">
        <v>110</v>
      </c>
      <c r="D9" s="5">
        <v>7.7777777777777777</v>
      </c>
      <c r="E9" s="5">
        <v>0</v>
      </c>
      <c r="F9" s="5">
        <v>300</v>
      </c>
      <c r="G9" s="5">
        <v>99.999999999999986</v>
      </c>
      <c r="H9" s="5">
        <v>1E+30</v>
      </c>
    </row>
    <row r="10" spans="1:8" ht="15.75" thickBot="1" x14ac:dyDescent="0.3">
      <c r="B10" s="3" t="s">
        <v>111</v>
      </c>
      <c r="C10" s="3" t="s">
        <v>112</v>
      </c>
      <c r="D10" s="3">
        <v>1.7777777777777777</v>
      </c>
      <c r="E10" s="3">
        <v>0</v>
      </c>
      <c r="F10" s="3">
        <v>500</v>
      </c>
      <c r="G10" s="3">
        <v>1E+30</v>
      </c>
      <c r="H10" s="3">
        <v>125</v>
      </c>
    </row>
    <row r="12" spans="1:8" ht="15.75" thickBot="1" x14ac:dyDescent="0.3">
      <c r="A12" t="s">
        <v>49</v>
      </c>
    </row>
    <row r="13" spans="1:8" x14ac:dyDescent="0.25">
      <c r="B13" s="8"/>
      <c r="C13" s="8"/>
      <c r="D13" s="8" t="s">
        <v>75</v>
      </c>
      <c r="E13" s="8" t="s">
        <v>84</v>
      </c>
      <c r="F13" s="8" t="s">
        <v>86</v>
      </c>
      <c r="G13" s="8" t="s">
        <v>81</v>
      </c>
      <c r="H13" s="8" t="s">
        <v>81</v>
      </c>
    </row>
    <row r="14" spans="1:8" ht="15.75" thickBot="1" x14ac:dyDescent="0.3">
      <c r="B14" s="9" t="s">
        <v>43</v>
      </c>
      <c r="C14" s="9" t="s">
        <v>44</v>
      </c>
      <c r="D14" s="9" t="s">
        <v>76</v>
      </c>
      <c r="E14" s="9" t="s">
        <v>85</v>
      </c>
      <c r="F14" s="9" t="s">
        <v>87</v>
      </c>
      <c r="G14" s="9" t="s">
        <v>82</v>
      </c>
      <c r="H14" s="9" t="s">
        <v>83</v>
      </c>
    </row>
    <row r="15" spans="1:8" x14ac:dyDescent="0.25">
      <c r="B15" s="5" t="s">
        <v>113</v>
      </c>
      <c r="C15" s="5" t="s">
        <v>114</v>
      </c>
      <c r="D15" s="5">
        <v>7.7777777777777777</v>
      </c>
      <c r="E15" s="5">
        <v>0</v>
      </c>
      <c r="F15" s="5">
        <v>12</v>
      </c>
      <c r="G15" s="5">
        <v>1E+30</v>
      </c>
      <c r="H15" s="5">
        <v>4.2222222222222223</v>
      </c>
    </row>
    <row r="16" spans="1:8" x14ac:dyDescent="0.25">
      <c r="B16" s="5" t="s">
        <v>117</v>
      </c>
      <c r="C16" s="5" t="s">
        <v>118</v>
      </c>
      <c r="D16" s="5">
        <v>1.7777777777777777</v>
      </c>
      <c r="E16" s="5">
        <v>0</v>
      </c>
      <c r="F16" s="5">
        <v>6</v>
      </c>
      <c r="G16" s="5">
        <v>1E+30</v>
      </c>
      <c r="H16" s="5">
        <v>4.2222222222222223</v>
      </c>
    </row>
    <row r="17" spans="2:8" x14ac:dyDescent="0.25">
      <c r="B17" s="5" t="s">
        <v>120</v>
      </c>
      <c r="C17" s="5" t="s">
        <v>121</v>
      </c>
      <c r="D17" s="5">
        <v>80</v>
      </c>
      <c r="E17" s="5">
        <v>44.444444444444443</v>
      </c>
      <c r="F17" s="5">
        <v>80</v>
      </c>
      <c r="G17" s="5">
        <v>76</v>
      </c>
      <c r="H17" s="5">
        <v>32</v>
      </c>
    </row>
    <row r="18" spans="2:8" ht="15.75" thickBot="1" x14ac:dyDescent="0.3">
      <c r="B18" s="3" t="s">
        <v>123</v>
      </c>
      <c r="C18" s="3" t="s">
        <v>124</v>
      </c>
      <c r="D18" s="3">
        <v>6</v>
      </c>
      <c r="E18" s="3">
        <v>-55.55555555555555</v>
      </c>
      <c r="F18" s="3">
        <v>6</v>
      </c>
      <c r="G18" s="3">
        <v>4</v>
      </c>
      <c r="H18" s="3">
        <v>9.5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C78E-0413-4245-AD72-8667BDA4CEB8}">
  <dimension ref="A1:J14"/>
  <sheetViews>
    <sheetView showGridLines="0" workbookViewId="0">
      <selection sqref="A1:A3"/>
    </sheetView>
  </sheetViews>
  <sheetFormatPr baseColWidth="10" defaultRowHeight="15" x14ac:dyDescent="0.25"/>
  <cols>
    <col min="1" max="1" width="2.28515625" customWidth="1"/>
    <col min="2" max="2" width="6" bestFit="1" customWidth="1"/>
    <col min="3" max="3" width="8.42578125" bestFit="1" customWidth="1"/>
    <col min="4" max="4" width="5.7109375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2" t="s">
        <v>88</v>
      </c>
    </row>
    <row r="2" spans="1:10" x14ac:dyDescent="0.25">
      <c r="A2" s="2" t="s">
        <v>32</v>
      </c>
    </row>
    <row r="3" spans="1:10" x14ac:dyDescent="0.25">
      <c r="A3" s="2" t="s">
        <v>126</v>
      </c>
    </row>
    <row r="5" spans="1:10" ht="15.75" thickBot="1" x14ac:dyDescent="0.3"/>
    <row r="6" spans="1:10" x14ac:dyDescent="0.25">
      <c r="B6" s="8"/>
      <c r="C6" s="8" t="s">
        <v>79</v>
      </c>
      <c r="D6" s="8"/>
    </row>
    <row r="7" spans="1:10" ht="15.75" thickBot="1" x14ac:dyDescent="0.3">
      <c r="B7" s="9" t="s">
        <v>43</v>
      </c>
      <c r="C7" s="9" t="s">
        <v>44</v>
      </c>
      <c r="D7" s="9" t="s">
        <v>76</v>
      </c>
    </row>
    <row r="8" spans="1:10" ht="15.75" thickBot="1" x14ac:dyDescent="0.3">
      <c r="B8" s="3" t="s">
        <v>129</v>
      </c>
      <c r="C8" s="3" t="s">
        <v>55</v>
      </c>
      <c r="D8" s="6">
        <v>3222.2222222222222</v>
      </c>
    </row>
    <row r="10" spans="1:10" ht="15.75" thickBot="1" x14ac:dyDescent="0.3"/>
    <row r="11" spans="1:10" x14ac:dyDescent="0.25">
      <c r="B11" s="8"/>
      <c r="C11" s="8" t="s">
        <v>90</v>
      </c>
      <c r="D11" s="8"/>
      <c r="F11" s="8" t="s">
        <v>91</v>
      </c>
      <c r="G11" s="8" t="s">
        <v>79</v>
      </c>
      <c r="I11" s="8" t="s">
        <v>94</v>
      </c>
      <c r="J11" s="8" t="s">
        <v>79</v>
      </c>
    </row>
    <row r="12" spans="1:10" ht="15.75" thickBot="1" x14ac:dyDescent="0.3">
      <c r="B12" s="9" t="s">
        <v>43</v>
      </c>
      <c r="C12" s="9" t="s">
        <v>44</v>
      </c>
      <c r="D12" s="9" t="s">
        <v>76</v>
      </c>
      <c r="F12" s="9" t="s">
        <v>92</v>
      </c>
      <c r="G12" s="9" t="s">
        <v>93</v>
      </c>
      <c r="I12" s="9" t="s">
        <v>92</v>
      </c>
      <c r="J12" s="9" t="s">
        <v>93</v>
      </c>
    </row>
    <row r="13" spans="1:10" x14ac:dyDescent="0.25">
      <c r="B13" s="5" t="s">
        <v>109</v>
      </c>
      <c r="C13" s="5" t="s">
        <v>110</v>
      </c>
      <c r="D13" s="7">
        <v>7.7777777777777777</v>
      </c>
      <c r="F13" s="7">
        <v>7.7777777777777777</v>
      </c>
      <c r="G13" s="7">
        <v>3222.2222222222222</v>
      </c>
      <c r="I13" s="7">
        <v>7.7777777777777777</v>
      </c>
      <c r="J13" s="7">
        <v>3222.2222222222222</v>
      </c>
    </row>
    <row r="14" spans="1:10" ht="15.75" thickBot="1" x14ac:dyDescent="0.3">
      <c r="B14" s="3" t="s">
        <v>111</v>
      </c>
      <c r="C14" s="3" t="s">
        <v>112</v>
      </c>
      <c r="D14" s="6">
        <v>1.7777777777777777</v>
      </c>
      <c r="F14" s="6">
        <v>1.7777777777777766</v>
      </c>
      <c r="G14" s="6">
        <v>3222.2222222222217</v>
      </c>
      <c r="I14" s="6">
        <v>1.7777777777777766</v>
      </c>
      <c r="J14" s="6">
        <v>3222.2222222222217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607D-AB77-47F6-85C1-1A30E988259E}">
  <dimension ref="A2:M44"/>
  <sheetViews>
    <sheetView topLeftCell="A28" zoomScale="210" zoomScaleNormal="210" workbookViewId="0">
      <selection activeCell="K3" sqref="K3"/>
    </sheetView>
  </sheetViews>
  <sheetFormatPr baseColWidth="10" defaultRowHeight="15" x14ac:dyDescent="0.25"/>
  <cols>
    <col min="1" max="1" width="23.28515625" customWidth="1"/>
    <col min="2" max="2" width="5.42578125" bestFit="1" customWidth="1"/>
    <col min="3" max="3" width="4.140625" bestFit="1" customWidth="1"/>
    <col min="4" max="4" width="12.85546875" bestFit="1" customWidth="1"/>
    <col min="5" max="5" width="4" customWidth="1"/>
    <col min="6" max="7" width="12.85546875" bestFit="1" customWidth="1"/>
    <col min="9" max="10" width="12.85546875" bestFit="1" customWidth="1"/>
    <col min="12" max="12" width="4.28515625" bestFit="1" customWidth="1"/>
    <col min="13" max="13" width="4.140625" bestFit="1" customWidth="1"/>
  </cols>
  <sheetData>
    <row r="2" spans="1:13" x14ac:dyDescent="0.25">
      <c r="H2" t="s">
        <v>17</v>
      </c>
      <c r="I2" t="s">
        <v>101</v>
      </c>
      <c r="J2" t="s">
        <v>102</v>
      </c>
    </row>
    <row r="3" spans="1:13" x14ac:dyDescent="0.25">
      <c r="H3" t="s">
        <v>22</v>
      </c>
      <c r="I3">
        <v>7.7777777777777777</v>
      </c>
      <c r="J3">
        <v>1.7777777777777777</v>
      </c>
      <c r="K3" t="s">
        <v>28</v>
      </c>
      <c r="L3" t="s">
        <v>29</v>
      </c>
      <c r="M3" t="s">
        <v>30</v>
      </c>
    </row>
    <row r="4" spans="1:13" x14ac:dyDescent="0.25">
      <c r="H4" t="s">
        <v>23</v>
      </c>
      <c r="I4">
        <v>300</v>
      </c>
      <c r="J4">
        <v>500</v>
      </c>
      <c r="K4">
        <f>+SUMPRODUCT($I$3:$J$3,I4:J4)</f>
        <v>3222.2222222222222</v>
      </c>
    </row>
    <row r="5" spans="1:13" x14ac:dyDescent="0.25">
      <c r="H5" t="s">
        <v>103</v>
      </c>
      <c r="I5">
        <v>1</v>
      </c>
      <c r="J5">
        <v>0</v>
      </c>
      <c r="K5">
        <f t="shared" ref="K5:K8" si="0">+SUMPRODUCT($I$3:$J$3,I5:J5)</f>
        <v>7.7777777777777777</v>
      </c>
      <c r="L5" t="s">
        <v>5</v>
      </c>
      <c r="M5">
        <v>12</v>
      </c>
    </row>
    <row r="6" spans="1:13" x14ac:dyDescent="0.25">
      <c r="H6" t="s">
        <v>104</v>
      </c>
      <c r="I6">
        <v>0</v>
      </c>
      <c r="J6">
        <v>1</v>
      </c>
      <c r="K6">
        <f t="shared" si="0"/>
        <v>1.7777777777777777</v>
      </c>
      <c r="L6" t="s">
        <v>5</v>
      </c>
      <c r="M6">
        <v>6</v>
      </c>
    </row>
    <row r="7" spans="1:13" x14ac:dyDescent="0.25">
      <c r="H7" t="s">
        <v>105</v>
      </c>
      <c r="I7">
        <v>8</v>
      </c>
      <c r="J7">
        <v>10</v>
      </c>
      <c r="K7">
        <f t="shared" si="0"/>
        <v>80</v>
      </c>
      <c r="L7" t="s">
        <v>107</v>
      </c>
      <c r="M7">
        <v>80</v>
      </c>
    </row>
    <row r="8" spans="1:13" x14ac:dyDescent="0.25">
      <c r="H8" t="s">
        <v>106</v>
      </c>
      <c r="I8">
        <v>1</v>
      </c>
      <c r="J8">
        <v>-1</v>
      </c>
      <c r="K8">
        <f t="shared" si="0"/>
        <v>6</v>
      </c>
      <c r="L8" t="s">
        <v>5</v>
      </c>
      <c r="M8">
        <v>6</v>
      </c>
    </row>
    <row r="13" spans="1:13" x14ac:dyDescent="0.25">
      <c r="A13" t="s">
        <v>0</v>
      </c>
    </row>
    <row r="15" spans="1:13" x14ac:dyDescent="0.25">
      <c r="A15" t="s">
        <v>1</v>
      </c>
      <c r="B15" t="s">
        <v>2</v>
      </c>
    </row>
    <row r="16" spans="1:13" x14ac:dyDescent="0.25">
      <c r="A16" t="s">
        <v>3</v>
      </c>
      <c r="B16" t="s">
        <v>5</v>
      </c>
      <c r="C16">
        <v>300</v>
      </c>
      <c r="F16" t="s">
        <v>96</v>
      </c>
    </row>
    <row r="17" spans="1:6" x14ac:dyDescent="0.25">
      <c r="A17" t="s">
        <v>4</v>
      </c>
      <c r="B17" t="s">
        <v>5</v>
      </c>
      <c r="C17">
        <v>500</v>
      </c>
      <c r="E17" t="s">
        <v>21</v>
      </c>
      <c r="F17">
        <v>55.55555555555555</v>
      </c>
    </row>
    <row r="18" spans="1:6" x14ac:dyDescent="0.25">
      <c r="A18" t="s">
        <v>7</v>
      </c>
    </row>
    <row r="19" spans="1:6" x14ac:dyDescent="0.25">
      <c r="A19" t="s">
        <v>6</v>
      </c>
    </row>
    <row r="21" spans="1:6" x14ac:dyDescent="0.25">
      <c r="A21" t="s">
        <v>9</v>
      </c>
    </row>
    <row r="23" spans="1:6" x14ac:dyDescent="0.25">
      <c r="A23" t="s">
        <v>1</v>
      </c>
      <c r="B23" t="s">
        <v>2</v>
      </c>
    </row>
    <row r="24" spans="1:6" x14ac:dyDescent="0.25">
      <c r="A24" s="1" t="s">
        <v>10</v>
      </c>
      <c r="B24" t="s">
        <v>5</v>
      </c>
      <c r="C24">
        <v>300</v>
      </c>
    </row>
    <row r="25" spans="1:6" x14ac:dyDescent="0.25">
      <c r="A25" s="1" t="s">
        <v>11</v>
      </c>
      <c r="B25" t="s">
        <v>5</v>
      </c>
      <c r="C25">
        <v>500</v>
      </c>
    </row>
    <row r="26" spans="1:6" x14ac:dyDescent="0.25">
      <c r="A26" t="s">
        <v>8</v>
      </c>
    </row>
    <row r="27" spans="1:6" x14ac:dyDescent="0.25">
      <c r="A27" t="s">
        <v>6</v>
      </c>
    </row>
    <row r="30" spans="1:6" x14ac:dyDescent="0.25">
      <c r="A30" t="s">
        <v>13</v>
      </c>
    </row>
    <row r="32" spans="1:6" x14ac:dyDescent="0.25">
      <c r="A32" t="s">
        <v>1</v>
      </c>
      <c r="B32" t="s">
        <v>2</v>
      </c>
    </row>
    <row r="33" spans="1:9" x14ac:dyDescent="0.25">
      <c r="A33" s="1" t="s">
        <v>14</v>
      </c>
      <c r="B33" t="s">
        <v>5</v>
      </c>
      <c r="C33">
        <v>300</v>
      </c>
    </row>
    <row r="34" spans="1:9" x14ac:dyDescent="0.25">
      <c r="A34" s="1" t="s">
        <v>15</v>
      </c>
      <c r="B34" t="s">
        <v>5</v>
      </c>
      <c r="C34">
        <v>500</v>
      </c>
    </row>
    <row r="35" spans="1:9" x14ac:dyDescent="0.25">
      <c r="A35" t="s">
        <v>16</v>
      </c>
    </row>
    <row r="36" spans="1:9" x14ac:dyDescent="0.25">
      <c r="A36" t="s">
        <v>12</v>
      </c>
    </row>
    <row r="37" spans="1:9" x14ac:dyDescent="0.25">
      <c r="G37">
        <f>29000/9</f>
        <v>3222.2222222222222</v>
      </c>
    </row>
    <row r="38" spans="1:9" x14ac:dyDescent="0.25">
      <c r="A38" t="s">
        <v>17</v>
      </c>
      <c r="B38" t="s">
        <v>18</v>
      </c>
      <c r="C38" t="s">
        <v>19</v>
      </c>
      <c r="D38" t="s">
        <v>24</v>
      </c>
      <c r="E38" t="s">
        <v>25</v>
      </c>
      <c r="F38" t="s">
        <v>21</v>
      </c>
    </row>
    <row r="39" spans="1:9" x14ac:dyDescent="0.25">
      <c r="A39" t="s">
        <v>22</v>
      </c>
      <c r="B39">
        <v>0</v>
      </c>
      <c r="C39">
        <v>0</v>
      </c>
      <c r="D39">
        <v>44.444444444444443</v>
      </c>
      <c r="E39">
        <v>0</v>
      </c>
      <c r="F39">
        <v>55.55555555555555</v>
      </c>
      <c r="G39" t="s">
        <v>28</v>
      </c>
      <c r="H39" t="s">
        <v>29</v>
      </c>
      <c r="I39" t="s">
        <v>30</v>
      </c>
    </row>
    <row r="40" spans="1:9" x14ac:dyDescent="0.25">
      <c r="A40" t="s">
        <v>23</v>
      </c>
      <c r="B40">
        <v>-12</v>
      </c>
      <c r="C40">
        <v>-6</v>
      </c>
      <c r="D40">
        <v>80</v>
      </c>
      <c r="E40">
        <v>-80</v>
      </c>
      <c r="F40">
        <v>-6</v>
      </c>
      <c r="G40">
        <f>+SUMPRODUCT($B$39:$F$39,B40:F40)</f>
        <v>3222.2222222222222</v>
      </c>
    </row>
    <row r="41" spans="1:9" x14ac:dyDescent="0.25">
      <c r="A41" t="s">
        <v>26</v>
      </c>
      <c r="B41">
        <v>-1</v>
      </c>
      <c r="C41">
        <v>0</v>
      </c>
      <c r="D41">
        <v>8</v>
      </c>
      <c r="E41">
        <v>-8</v>
      </c>
      <c r="F41">
        <v>-1</v>
      </c>
      <c r="G41">
        <f t="shared" ref="G41:G42" si="1">+SUMPRODUCT($B$39:$F$39,B41:F41)</f>
        <v>300</v>
      </c>
      <c r="H41" t="s">
        <v>5</v>
      </c>
      <c r="I41">
        <v>300</v>
      </c>
    </row>
    <row r="42" spans="1:9" x14ac:dyDescent="0.25">
      <c r="A42" t="s">
        <v>27</v>
      </c>
      <c r="B42">
        <v>0</v>
      </c>
      <c r="C42">
        <v>-1</v>
      </c>
      <c r="D42">
        <v>10</v>
      </c>
      <c r="E42">
        <v>-10</v>
      </c>
      <c r="F42">
        <v>1</v>
      </c>
      <c r="G42">
        <f t="shared" si="1"/>
        <v>500</v>
      </c>
      <c r="H42" t="s">
        <v>5</v>
      </c>
      <c r="I42">
        <v>500</v>
      </c>
    </row>
    <row r="44" spans="1:9" x14ac:dyDescent="0.25">
      <c r="D44" t="s">
        <v>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Informe de respuestas 1</vt:lpstr>
      <vt:lpstr>Informe de sensibilidad 1</vt:lpstr>
      <vt:lpstr>Informe de respuestas 3</vt:lpstr>
      <vt:lpstr>Informe de sensibilidad 3</vt:lpstr>
      <vt:lpstr>Informe de límites 3</vt:lpstr>
      <vt:lpstr>Informe de respuestas 4</vt:lpstr>
      <vt:lpstr>Informe de sensibilidad 4</vt:lpstr>
      <vt:lpstr>Informe de límites 4</vt:lpstr>
      <vt:lpstr>Hoja11</vt:lpstr>
      <vt:lpstr>Informe de límites 1</vt:lpstr>
      <vt:lpstr>Informe de respuestas 2</vt:lpstr>
      <vt:lpstr>Informe de sensibilidad 2</vt:lpstr>
      <vt:lpstr>Informe de límites 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2025-11-05T19:25:21Z</dcterms:created>
  <dcterms:modified xsi:type="dcterms:W3CDTF">2025-11-05T20:35:32Z</dcterms:modified>
</cp:coreProperties>
</file>