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xr:revisionPtr revIDLastSave="0" documentId="8_{0E1CB61C-8F36-43F7-96BA-5D5267D4A582}" xr6:coauthVersionLast="47" xr6:coauthVersionMax="47" xr10:uidLastSave="{00000000-0000-0000-0000-000000000000}"/>
  <bookViews>
    <workbookView xWindow="5670" yWindow="4140" windowWidth="21600" windowHeight="11295" xr2:uid="{E364C422-150B-49F8-AACD-9872BC69334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" l="1" a="1"/>
  <c r="AJ25" i="1"/>
  <c r="AJ17" i="1"/>
  <c r="AK17" i="1"/>
  <c r="AJ18" i="1"/>
  <c r="AJ19" i="1"/>
  <c r="AK19" i="1"/>
  <c r="AI21" i="1" a="1"/>
  <c r="AI21" i="1"/>
  <c r="AJ12" i="1" a="1"/>
  <c r="AJ12" i="1"/>
  <c r="AI8" i="1" a="1"/>
  <c r="AI8" i="1"/>
  <c r="AK6" i="1"/>
  <c r="AJ6" i="1"/>
  <c r="AJ5" i="1"/>
  <c r="AK4" i="1"/>
  <c r="AJ4" i="1"/>
  <c r="AD9" i="1"/>
  <c r="AC2" i="1"/>
  <c r="AC3" i="1"/>
  <c r="V30" i="1"/>
  <c r="V29" i="1"/>
  <c r="V28" i="1"/>
  <c r="T19" i="1"/>
  <c r="U19" i="1"/>
  <c r="T20" i="1"/>
  <c r="T21" i="1"/>
  <c r="U21" i="1"/>
  <c r="S23" i="1" a="1"/>
  <c r="S23" i="1"/>
  <c r="AA23" i="1" a="1"/>
  <c r="AA23" i="1"/>
  <c r="AA24" i="1"/>
  <c r="T24" i="1"/>
  <c r="S24" i="1"/>
  <c r="X14" i="1"/>
  <c r="AA9" i="1"/>
  <c r="AA8" i="1" a="1"/>
  <c r="AA8" i="1"/>
  <c r="X12" i="1"/>
  <c r="T9" i="1"/>
  <c r="S9" i="1"/>
  <c r="S8" i="1" a="1"/>
  <c r="S8" i="1"/>
  <c r="U6" i="1"/>
  <c r="T6" i="1"/>
  <c r="T5" i="1"/>
  <c r="U4" i="1"/>
  <c r="T4" i="1"/>
  <c r="K20" i="1"/>
  <c r="L20" i="1"/>
  <c r="M20" i="1"/>
  <c r="N20" i="1"/>
  <c r="O20" i="1"/>
  <c r="J20" i="1"/>
  <c r="Q19" i="1"/>
  <c r="N19" i="1"/>
  <c r="M19" i="1"/>
  <c r="K19" i="1"/>
  <c r="Q18" i="1"/>
  <c r="N18" i="1"/>
  <c r="M18" i="1"/>
  <c r="K18" i="1"/>
  <c r="Q17" i="1"/>
  <c r="N17" i="1"/>
  <c r="M17" i="1"/>
  <c r="K17" i="1"/>
  <c r="L10" i="1"/>
  <c r="O10" i="1"/>
  <c r="J10" i="1"/>
  <c r="N9" i="1"/>
  <c r="N8" i="1"/>
  <c r="N7" i="1"/>
  <c r="M9" i="1"/>
  <c r="M8" i="1"/>
  <c r="M7" i="1"/>
  <c r="K9" i="1"/>
  <c r="K8" i="1"/>
  <c r="K7" i="1"/>
  <c r="Q9" i="1"/>
  <c r="Q8" i="1"/>
  <c r="Q7" i="1"/>
  <c r="B2" i="1"/>
  <c r="C2" i="1"/>
  <c r="B3" i="1"/>
  <c r="B4" i="1"/>
  <c r="C4" i="1"/>
  <c r="B25" i="1" a="1"/>
  <c r="B25" i="1"/>
  <c r="F18" i="1"/>
  <c r="C14" i="1"/>
  <c r="C15" i="1"/>
  <c r="C16" i="1"/>
  <c r="D18" i="1" a="1"/>
  <c r="D18" i="1"/>
  <c r="F16" i="1"/>
  <c r="F15" i="1"/>
  <c r="F14" i="1"/>
  <c r="B14" i="1" a="1"/>
  <c r="B14" i="1"/>
  <c r="B8" i="1" a="1"/>
  <c r="B8" i="1"/>
  <c r="N10" i="1"/>
  <c r="M10" i="1"/>
  <c r="K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<sst xmlns="http://schemas.openxmlformats.org/spreadsheetml/2006/main" count="86" uniqueCount="40">
  <si>
    <t>Cb</t>
  </si>
  <si>
    <t>b*</t>
  </si>
  <si>
    <r>
      <t>b</t>
    </r>
    <r>
      <rPr>
        <vertAlign val="superscript"/>
        <sz val="11"/>
        <color theme="1"/>
        <rFont val="Calibri"/>
        <family val="2"/>
        <scheme val="minor"/>
      </rPr>
      <t>-1</t>
    </r>
  </si>
  <si>
    <t>XB*</t>
  </si>
  <si>
    <t>XB</t>
  </si>
  <si>
    <t>X1</t>
  </si>
  <si>
    <t>X3</t>
  </si>
  <si>
    <t>H3</t>
  </si>
  <si>
    <t>Z*=Cb*XB*</t>
  </si>
  <si>
    <t>SEGUNDO EJEMPLO</t>
  </si>
  <si>
    <t>TERCER EJEMPLO</t>
  </si>
  <si>
    <t>PRIMER EJEMPLO</t>
  </si>
  <si>
    <t>C</t>
  </si>
  <si>
    <t>C*</t>
  </si>
  <si>
    <t>CB</t>
  </si>
  <si>
    <t>X2</t>
  </si>
  <si>
    <t>H1</t>
  </si>
  <si>
    <t>H2</t>
  </si>
  <si>
    <t>B</t>
  </si>
  <si>
    <t>CJ</t>
  </si>
  <si>
    <t>CUARTO EJEMPLO</t>
  </si>
  <si>
    <t>QUINTO EJEMPLO</t>
  </si>
  <si>
    <t>a2</t>
  </si>
  <si>
    <t>C2</t>
  </si>
  <si>
    <t>sexto ejemplo</t>
  </si>
  <si>
    <t>x1</t>
  </si>
  <si>
    <t>x3</t>
  </si>
  <si>
    <t>x2</t>
  </si>
  <si>
    <t>SÉPTIMO EJEMPLO</t>
  </si>
  <si>
    <t>15X1+50X2+20X3&lt;=5000</t>
  </si>
  <si>
    <t>15*63.64+50*0+20*54.55&lt;=5000</t>
  </si>
  <si>
    <t>PUERTAS</t>
  </si>
  <si>
    <t>OCTAVO EJEMPLO</t>
  </si>
  <si>
    <t>63.64&lt;=60</t>
  </si>
  <si>
    <t>NOVENO EJEMPLO</t>
  </si>
  <si>
    <t>54.55&gt;=60</t>
  </si>
  <si>
    <t>DÉCIMO EJEMPLO</t>
  </si>
  <si>
    <t>a4</t>
  </si>
  <si>
    <t>NO DEBEMOS FABRICAR EL NUEVO PRODUCTO</t>
  </si>
  <si>
    <t>ONCEAVO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</si>
</sst>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40822</xdr:colOff>
      <xdr:row>8</xdr:row>
      <xdr:rowOff>176893</xdr:rowOff>
    </xdr:from>
    <xdr:to>
      <xdr:col>1</xdr:col>
      <xdr:colOff>281535</xdr:colOff>
      <xdr:row>12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EC2B03-5507-451C-9452-807C84ECA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22" y="1537607"/>
          <a:ext cx="716963" cy="585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691F-471F-42EC-AABA-E36D3538A63E}">
  <dimension ref="A1:AN30"/>
  <sheetViews>
    <sheetView tabSelected="1" topLeftCell="AG13" zoomScale="190" zoomScaleNormal="190" workbookViewId="0">
      <selection activeCell="AJ26" sqref="AJ26"/>
    </sheetView>
  </sheetViews>
  <sheetFormatPr baseColWidth="10" defaultRowHeight="15" x14ac:dyDescent="0.25"/>
  <cols>
    <col min="1" max="1" width="7.140625" customWidth="1"/>
    <col min="2" max="2" width="5.5703125" customWidth="1"/>
    <col min="3" max="3" width="5.7109375" customWidth="1"/>
    <col min="4" max="4" width="7.140625" customWidth="1"/>
    <col min="5" max="5" width="5.28515625" customWidth="1"/>
    <col min="6" max="6" width="6.5703125" customWidth="1"/>
    <col min="7" max="7" width="2.140625" style="2" customWidth="1"/>
    <col min="8" max="8" width="5.140625" customWidth="1"/>
    <col min="9" max="9" width="5" customWidth="1"/>
    <col min="10" max="10" width="6.140625" customWidth="1"/>
    <col min="11" max="11" width="5" customWidth="1"/>
    <col min="12" max="12" width="4.85546875" customWidth="1"/>
    <col min="13" max="15" width="5.140625" customWidth="1"/>
    <col min="16" max="16" width="5.42578125" customWidth="1"/>
    <col min="17" max="17" width="5.7109375" customWidth="1"/>
    <col min="18" max="18" width="2.5703125" style="2" customWidth="1"/>
    <col min="19" max="24" width="5.140625" customWidth="1"/>
    <col min="25" max="26" width="4.5703125" customWidth="1"/>
    <col min="27" max="27" width="4.85546875" customWidth="1"/>
    <col min="28" max="28" width="4.5703125" style="4" customWidth="1"/>
    <col min="29" max="29" width="6.28515625" customWidth="1"/>
    <col min="30" max="30" width="7" customWidth="1"/>
    <col min="31" max="31" width="4.5703125" customWidth="1"/>
    <col min="34" max="34" width="2.5703125" style="4" customWidth="1"/>
    <col min="35" max="38" width="5.85546875" customWidth="1"/>
    <col min="39" max="39" width="4.7109375" customWidth="1"/>
    <col min="40" max="40" width="3" bestFit="1" customWidth="1"/>
  </cols>
  <sheetData>
    <row r="1" spans="1:40" x14ac:dyDescent="0.25">
      <c r="A1" t="s">
        <v>11</v>
      </c>
      <c r="H1" t="s">
        <v>10</v>
      </c>
      <c r="S1" t="s">
        <v>21</v>
      </c>
      <c r="AC1" t="s">
        <v>28</v>
      </c>
      <c r="AI1" t="s">
        <v>36</v>
      </c>
    </row>
    <row r="2" spans="1:40" ht="17.25" x14ac:dyDescent="0.25">
      <c r="A2" t="s">
        <v>2</v>
      </c>
      <c r="B2">
        <f>5/11</f>
        <v>0.45454545454545453</v>
      </c>
      <c r="C2">
        <f>-2/11</f>
        <v>-0.18181818181818182</v>
      </c>
      <c r="D2">
        <v>0</v>
      </c>
      <c r="H2" t="s">
        <v>12</v>
      </c>
      <c r="I2">
        <v>6</v>
      </c>
      <c r="J2">
        <v>2</v>
      </c>
      <c r="K2">
        <v>5</v>
      </c>
      <c r="S2" t="s">
        <v>0</v>
      </c>
      <c r="T2">
        <v>6</v>
      </c>
      <c r="U2">
        <v>5</v>
      </c>
      <c r="V2">
        <v>0</v>
      </c>
      <c r="AC2">
        <f>700/11</f>
        <v>63.636363636363633</v>
      </c>
      <c r="AD2" t="s">
        <v>5</v>
      </c>
      <c r="AE2" t="s">
        <v>31</v>
      </c>
      <c r="AI2" t="s">
        <v>0</v>
      </c>
      <c r="AJ2">
        <v>6</v>
      </c>
      <c r="AK2">
        <v>5</v>
      </c>
      <c r="AL2">
        <v>0</v>
      </c>
    </row>
    <row r="3" spans="1:40" x14ac:dyDescent="0.25">
      <c r="B3">
        <f>-2/11</f>
        <v>-0.18181818181818182</v>
      </c>
      <c r="C3" s="1">
        <v>0.27272727272727271</v>
      </c>
      <c r="D3">
        <v>0</v>
      </c>
      <c r="H3" t="s">
        <v>13</v>
      </c>
      <c r="I3">
        <v>6</v>
      </c>
      <c r="J3">
        <v>4</v>
      </c>
      <c r="K3">
        <v>5</v>
      </c>
      <c r="AC3">
        <f>600/11</f>
        <v>54.545454545454547</v>
      </c>
      <c r="AD3" t="s">
        <v>6</v>
      </c>
    </row>
    <row r="4" spans="1:40" ht="17.25" x14ac:dyDescent="0.25">
      <c r="B4">
        <f>-8/11</f>
        <v>-0.72727272727272729</v>
      </c>
      <c r="C4">
        <f>1/11</f>
        <v>9.0909090909090912E-2</v>
      </c>
      <c r="D4">
        <v>1</v>
      </c>
      <c r="S4" t="s">
        <v>2</v>
      </c>
      <c r="T4">
        <f>5/11</f>
        <v>0.45454545454545453</v>
      </c>
      <c r="U4">
        <f>-2/11</f>
        <v>-0.18181818181818182</v>
      </c>
      <c r="V4">
        <v>0</v>
      </c>
      <c r="AI4" t="s">
        <v>2</v>
      </c>
      <c r="AJ4">
        <f>5/11</f>
        <v>0.45454545454545453</v>
      </c>
      <c r="AK4">
        <f>-2/11</f>
        <v>-0.18181818181818182</v>
      </c>
      <c r="AL4">
        <v>0</v>
      </c>
    </row>
    <row r="5" spans="1:40" x14ac:dyDescent="0.25">
      <c r="I5" t="s">
        <v>19</v>
      </c>
      <c r="J5">
        <v>6</v>
      </c>
      <c r="K5">
        <v>4</v>
      </c>
      <c r="L5">
        <v>5</v>
      </c>
      <c r="M5">
        <v>0</v>
      </c>
      <c r="N5">
        <v>0</v>
      </c>
      <c r="O5">
        <v>0</v>
      </c>
      <c r="T5">
        <f>-2/11</f>
        <v>-0.18181818181818182</v>
      </c>
      <c r="U5" s="1">
        <v>0.27272727272727271</v>
      </c>
      <c r="V5">
        <v>0</v>
      </c>
      <c r="AD5" t="s">
        <v>29</v>
      </c>
      <c r="AJ5">
        <f>-2/11</f>
        <v>-0.18181818181818182</v>
      </c>
      <c r="AK5" s="1">
        <v>0.27272727272727271</v>
      </c>
      <c r="AL5">
        <v>0</v>
      </c>
    </row>
    <row r="6" spans="1:40" x14ac:dyDescent="0.25">
      <c r="A6" t="s">
        <v>0</v>
      </c>
      <c r="B6">
        <v>6</v>
      </c>
      <c r="C6">
        <v>5</v>
      </c>
      <c r="D6">
        <v>0</v>
      </c>
      <c r="I6" t="s">
        <v>14</v>
      </c>
      <c r="J6" t="s">
        <v>5</v>
      </c>
      <c r="K6" t="s">
        <v>15</v>
      </c>
      <c r="L6" t="s">
        <v>6</v>
      </c>
      <c r="M6" t="s">
        <v>16</v>
      </c>
      <c r="N6" t="s">
        <v>17</v>
      </c>
      <c r="O6" t="s">
        <v>7</v>
      </c>
      <c r="P6" t="s">
        <v>18</v>
      </c>
      <c r="Q6" t="s">
        <v>4</v>
      </c>
      <c r="T6">
        <f>-8/11</f>
        <v>-0.72727272727272729</v>
      </c>
      <c r="U6">
        <f>1/11</f>
        <v>9.0909090909090912E-2</v>
      </c>
      <c r="V6">
        <v>1</v>
      </c>
      <c r="AJ6">
        <f>-8/11</f>
        <v>-0.72727272727272729</v>
      </c>
      <c r="AK6">
        <f>1/11</f>
        <v>9.0909090909090912E-2</v>
      </c>
      <c r="AL6">
        <v>1</v>
      </c>
    </row>
    <row r="7" spans="1:40" x14ac:dyDescent="0.25">
      <c r="I7">
        <v>6</v>
      </c>
      <c r="J7">
        <v>1</v>
      </c>
      <c r="K7">
        <f>17/11</f>
        <v>1.5454545454545454</v>
      </c>
      <c r="L7">
        <v>0</v>
      </c>
      <c r="M7">
        <f>5/11</f>
        <v>0.45454545454545453</v>
      </c>
      <c r="N7">
        <f>-2/11</f>
        <v>-0.18181818181818182</v>
      </c>
      <c r="O7">
        <v>0</v>
      </c>
      <c r="P7" t="s">
        <v>5</v>
      </c>
      <c r="Q7">
        <f>700/11</f>
        <v>63.636363636363633</v>
      </c>
      <c r="AD7" t="s">
        <v>30</v>
      </c>
    </row>
    <row r="8" spans="1:40" x14ac:dyDescent="0.25">
      <c r="B8" cm="1">
        <f t="array" ref="B8:D8">+MMULT(B6:D6,B2:D4)</f>
        <v>1.8181818181818179</v>
      </c>
      <c r="C8">
        <v>0.27272727272727271</v>
      </c>
      <c r="D8">
        <v>0</v>
      </c>
      <c r="I8">
        <v>5</v>
      </c>
      <c r="J8">
        <v>0</v>
      </c>
      <c r="K8">
        <f>2/11</f>
        <v>0.18181818181818182</v>
      </c>
      <c r="L8">
        <v>1</v>
      </c>
      <c r="M8">
        <f>-2/11</f>
        <v>-0.18181818181818182</v>
      </c>
      <c r="N8">
        <f>3/11</f>
        <v>0.27272727272727271</v>
      </c>
      <c r="O8">
        <v>0</v>
      </c>
      <c r="P8" t="s">
        <v>6</v>
      </c>
      <c r="Q8">
        <f>600/11</f>
        <v>54.545454545454547</v>
      </c>
      <c r="S8" cm="1">
        <f t="array" ref="S8:U8">+MMULT(T2:V2,T4:V6)</f>
        <v>1.8181818181818179</v>
      </c>
      <c r="T8">
        <v>0.27272727272727271</v>
      </c>
      <c r="U8">
        <v>0</v>
      </c>
      <c r="W8" t="s">
        <v>22</v>
      </c>
      <c r="X8">
        <v>7</v>
      </c>
      <c r="AA8" cm="1">
        <f t="array" ref="AA8">+MMULT(S8:U8,X8:X10)</f>
        <v>14.909090909090907</v>
      </c>
      <c r="AI8" cm="1">
        <f t="array" ref="AI8:AK8">+MMULT(AJ2:AL2,AJ4:AL6)</f>
        <v>1.8181818181818179</v>
      </c>
      <c r="AJ8">
        <v>0.27272727272727271</v>
      </c>
      <c r="AK8">
        <v>0</v>
      </c>
      <c r="AM8" t="s">
        <v>37</v>
      </c>
      <c r="AN8">
        <v>5</v>
      </c>
    </row>
    <row r="9" spans="1:40" x14ac:dyDescent="0.25">
      <c r="I9">
        <v>0</v>
      </c>
      <c r="J9">
        <v>0</v>
      </c>
      <c r="K9">
        <f>-3/11</f>
        <v>-0.27272727272727271</v>
      </c>
      <c r="L9">
        <v>0</v>
      </c>
      <c r="M9">
        <f>-8/11</f>
        <v>-0.72727272727272729</v>
      </c>
      <c r="N9">
        <f>1/11</f>
        <v>9.0909090909090912E-2</v>
      </c>
      <c r="O9">
        <v>1</v>
      </c>
      <c r="P9" t="s">
        <v>7</v>
      </c>
      <c r="Q9">
        <f>640/11</f>
        <v>58.18181818181818</v>
      </c>
      <c r="S9">
        <f>20/11</f>
        <v>1.8181818181818181</v>
      </c>
      <c r="T9">
        <f>3/11</f>
        <v>0.27272727272727271</v>
      </c>
      <c r="X9">
        <v>8</v>
      </c>
      <c r="AA9" s="3">
        <f>+AA8-2</f>
        <v>12.909090909090907</v>
      </c>
      <c r="AD9">
        <f>15*AC2+50*0+20*AC3</f>
        <v>2045.4545454545455</v>
      </c>
      <c r="AN9">
        <v>10</v>
      </c>
    </row>
    <row r="10" spans="1:40" x14ac:dyDescent="0.25">
      <c r="D10">
        <v>300</v>
      </c>
      <c r="J10">
        <f>+SUMPRODUCT($I$7:$I$9,J7:J9)-J5</f>
        <v>0</v>
      </c>
      <c r="K10">
        <f>+SUMPRODUCT($I$7:$I$9,K7:K9)-K5</f>
        <v>6.1818181818181834</v>
      </c>
      <c r="L10">
        <f>+SUMPRODUCT($I$7:$I$9,L7:L9)-L5</f>
        <v>0</v>
      </c>
      <c r="M10">
        <f>+SUMPRODUCT($I$7:$I$9,M7:M9)-M5</f>
        <v>1.8181818181818179</v>
      </c>
      <c r="N10">
        <f>+SUMPRODUCT($I$7:$I$9,N7:N9)-N5</f>
        <v>0.27272727272727271</v>
      </c>
      <c r="O10">
        <f>+SUMPRODUCT($I$7:$I$9,O7:O9)-O5</f>
        <v>0</v>
      </c>
      <c r="X10">
        <v>9</v>
      </c>
      <c r="AC10" t="s">
        <v>32</v>
      </c>
      <c r="AN10">
        <v>2</v>
      </c>
    </row>
    <row r="11" spans="1:40" x14ac:dyDescent="0.25">
      <c r="C11" t="s">
        <v>1</v>
      </c>
      <c r="D11">
        <v>400</v>
      </c>
      <c r="T11" t="s">
        <v>23</v>
      </c>
      <c r="U11">
        <v>2</v>
      </c>
      <c r="AD11" t="s">
        <v>33</v>
      </c>
    </row>
    <row r="12" spans="1:40" x14ac:dyDescent="0.25">
      <c r="D12">
        <v>190</v>
      </c>
      <c r="H12" t="s">
        <v>20</v>
      </c>
      <c r="X12">
        <f>+S8*X8+T8*X9+0</f>
        <v>14.909090909090907</v>
      </c>
      <c r="AD12" t="s">
        <v>5</v>
      </c>
      <c r="AE12">
        <v>60</v>
      </c>
      <c r="AJ12" s="3" cm="1">
        <f t="array" ref="AJ12">+MMULT(AI8:AK8,AN8:AN10)-3</f>
        <v>8.8181818181818166</v>
      </c>
      <c r="AL12" t="s">
        <v>38</v>
      </c>
    </row>
    <row r="13" spans="1:40" x14ac:dyDescent="0.25">
      <c r="H13" t="s">
        <v>13</v>
      </c>
      <c r="I13">
        <v>3</v>
      </c>
      <c r="J13">
        <v>2</v>
      </c>
      <c r="K13">
        <v>8</v>
      </c>
      <c r="AD13" t="s">
        <v>15</v>
      </c>
      <c r="AE13">
        <v>56</v>
      </c>
    </row>
    <row r="14" spans="1:40" x14ac:dyDescent="0.25">
      <c r="A14" t="s">
        <v>3</v>
      </c>
      <c r="B14" cm="1">
        <f t="array" ref="B14:B16">+MMULT(B2:D4,D10:D12)</f>
        <v>63.636363636363612</v>
      </c>
      <c r="C14">
        <f>700/11</f>
        <v>63.636363636363633</v>
      </c>
      <c r="D14" t="s">
        <v>5</v>
      </c>
      <c r="E14" t="s">
        <v>4</v>
      </c>
      <c r="F14">
        <f>700/11</f>
        <v>63.636363636363633</v>
      </c>
      <c r="X14">
        <f>+(20/11)*7+(3/11)*8+0-2</f>
        <v>12.909090909090908</v>
      </c>
      <c r="AI14" t="s">
        <v>39</v>
      </c>
    </row>
    <row r="15" spans="1:40" x14ac:dyDescent="0.25">
      <c r="B15">
        <v>54.545454545454533</v>
      </c>
      <c r="C15">
        <f>600/11</f>
        <v>54.545454545454547</v>
      </c>
      <c r="D15" t="s">
        <v>6</v>
      </c>
      <c r="F15">
        <f>600/11</f>
        <v>54.545454545454547</v>
      </c>
      <c r="I15" t="s">
        <v>19</v>
      </c>
      <c r="J15">
        <v>3</v>
      </c>
      <c r="K15">
        <v>2</v>
      </c>
      <c r="L15">
        <v>8</v>
      </c>
      <c r="M15">
        <v>0</v>
      </c>
      <c r="N15">
        <v>0</v>
      </c>
      <c r="O15">
        <v>0</v>
      </c>
      <c r="AC15" t="s">
        <v>34</v>
      </c>
      <c r="AI15" t="s">
        <v>0</v>
      </c>
      <c r="AJ15">
        <v>6</v>
      </c>
      <c r="AK15">
        <v>5</v>
      </c>
      <c r="AL15">
        <v>0</v>
      </c>
    </row>
    <row r="16" spans="1:40" x14ac:dyDescent="0.25">
      <c r="B16">
        <v>8.181818181818187</v>
      </c>
      <c r="C16">
        <f>90/11</f>
        <v>8.1818181818181817</v>
      </c>
      <c r="D16" t="s">
        <v>7</v>
      </c>
      <c r="F16">
        <f>640/11</f>
        <v>58.18181818181818</v>
      </c>
      <c r="I16" t="s">
        <v>14</v>
      </c>
      <c r="J16" t="s">
        <v>5</v>
      </c>
      <c r="K16" t="s">
        <v>15</v>
      </c>
      <c r="L16" t="s">
        <v>6</v>
      </c>
      <c r="M16" t="s">
        <v>16</v>
      </c>
      <c r="N16" t="s">
        <v>17</v>
      </c>
      <c r="O16" t="s">
        <v>7</v>
      </c>
      <c r="P16" t="s">
        <v>18</v>
      </c>
      <c r="Q16" t="s">
        <v>4</v>
      </c>
      <c r="S16" t="s">
        <v>24</v>
      </c>
      <c r="AD16" t="s">
        <v>35</v>
      </c>
      <c r="AF16" t="s">
        <v>5</v>
      </c>
      <c r="AG16">
        <v>50</v>
      </c>
    </row>
    <row r="17" spans="1:40" ht="17.25" x14ac:dyDescent="0.25">
      <c r="I17">
        <v>3</v>
      </c>
      <c r="J17">
        <v>1</v>
      </c>
      <c r="K17">
        <f>17/11</f>
        <v>1.5454545454545454</v>
      </c>
      <c r="L17">
        <v>0</v>
      </c>
      <c r="M17">
        <f>5/11</f>
        <v>0.45454545454545453</v>
      </c>
      <c r="N17">
        <f>-2/11</f>
        <v>-0.18181818181818182</v>
      </c>
      <c r="O17">
        <v>0</v>
      </c>
      <c r="P17" t="s">
        <v>5</v>
      </c>
      <c r="Q17">
        <f>700/11</f>
        <v>63.636363636363633</v>
      </c>
      <c r="S17" t="s">
        <v>0</v>
      </c>
      <c r="T17">
        <v>6</v>
      </c>
      <c r="U17">
        <v>5</v>
      </c>
      <c r="V17">
        <v>0</v>
      </c>
      <c r="AF17" t="s">
        <v>6</v>
      </c>
      <c r="AG17">
        <v>60</v>
      </c>
      <c r="AI17" t="s">
        <v>2</v>
      </c>
      <c r="AJ17">
        <f>5/11</f>
        <v>0.45454545454545453</v>
      </c>
      <c r="AK17">
        <f>-2/11</f>
        <v>-0.18181818181818182</v>
      </c>
      <c r="AL17">
        <v>0</v>
      </c>
    </row>
    <row r="18" spans="1:40" x14ac:dyDescent="0.25">
      <c r="A18" t="s">
        <v>8</v>
      </c>
      <c r="D18" cm="1">
        <f t="array" ref="D18">+MMULT(B6:D6,C14:C16)</f>
        <v>654.5454545454545</v>
      </c>
      <c r="F18">
        <f>7200/11</f>
        <v>654.5454545454545</v>
      </c>
      <c r="I18">
        <v>8</v>
      </c>
      <c r="J18">
        <v>0</v>
      </c>
      <c r="K18">
        <f>2/11</f>
        <v>0.18181818181818182</v>
      </c>
      <c r="L18">
        <v>1</v>
      </c>
      <c r="M18">
        <f>-2/11</f>
        <v>-0.18181818181818182</v>
      </c>
      <c r="N18">
        <f>3/11</f>
        <v>0.27272727272727271</v>
      </c>
      <c r="O18">
        <v>0</v>
      </c>
      <c r="P18" t="s">
        <v>6</v>
      </c>
      <c r="Q18">
        <f>600/11</f>
        <v>54.545454545454547</v>
      </c>
      <c r="AJ18">
        <f>-2/11</f>
        <v>-0.18181818181818182</v>
      </c>
      <c r="AK18" s="1">
        <v>0.27272727272727271</v>
      </c>
      <c r="AL18">
        <v>0</v>
      </c>
    </row>
    <row r="19" spans="1:40" ht="17.25" x14ac:dyDescent="0.25">
      <c r="I19">
        <v>0</v>
      </c>
      <c r="J19">
        <v>0</v>
      </c>
      <c r="K19">
        <f>-3/11</f>
        <v>-0.27272727272727271</v>
      </c>
      <c r="L19">
        <v>0</v>
      </c>
      <c r="M19">
        <f>-8/11</f>
        <v>-0.72727272727272729</v>
      </c>
      <c r="N19">
        <f>1/11</f>
        <v>9.0909090909090912E-2</v>
      </c>
      <c r="O19">
        <v>1</v>
      </c>
      <c r="P19" t="s">
        <v>7</v>
      </c>
      <c r="Q19">
        <f>640/11</f>
        <v>58.18181818181818</v>
      </c>
      <c r="S19" t="s">
        <v>2</v>
      </c>
      <c r="T19">
        <f>5/11</f>
        <v>0.45454545454545453</v>
      </c>
      <c r="U19">
        <f>-2/11</f>
        <v>-0.18181818181818182</v>
      </c>
      <c r="V19">
        <v>0</v>
      </c>
      <c r="AJ19">
        <f>-8/11</f>
        <v>-0.72727272727272729</v>
      </c>
      <c r="AK19">
        <f>1/11</f>
        <v>9.0909090909090912E-2</v>
      </c>
      <c r="AL19">
        <v>1</v>
      </c>
    </row>
    <row r="20" spans="1:40" x14ac:dyDescent="0.25">
      <c r="A20" t="s">
        <v>9</v>
      </c>
      <c r="J20">
        <f>+SUMPRODUCT($I$17:$I$19,J17:J19)-J15</f>
        <v>0</v>
      </c>
      <c r="K20">
        <f t="shared" ref="K20:O20" si="0">+SUMPRODUCT($I$17:$I$19,K17:K19)-K15</f>
        <v>4.0909090909090917</v>
      </c>
      <c r="L20">
        <f t="shared" si="0"/>
        <v>0</v>
      </c>
      <c r="M20">
        <f t="shared" si="0"/>
        <v>-9.090909090909105E-2</v>
      </c>
      <c r="N20">
        <f t="shared" si="0"/>
        <v>1.6363636363636362</v>
      </c>
      <c r="O20">
        <f t="shared" si="0"/>
        <v>0</v>
      </c>
      <c r="T20">
        <f>-2/11</f>
        <v>-0.18181818181818182</v>
      </c>
      <c r="U20" s="1">
        <v>0.27272727272727271</v>
      </c>
      <c r="V20">
        <v>0</v>
      </c>
    </row>
    <row r="21" spans="1:40" x14ac:dyDescent="0.25">
      <c r="B21">
        <v>390</v>
      </c>
      <c r="T21">
        <f>-8/11</f>
        <v>-0.72727272727272729</v>
      </c>
      <c r="U21">
        <f>1/11</f>
        <v>9.0909090909090912E-2</v>
      </c>
      <c r="V21">
        <v>1</v>
      </c>
      <c r="AI21" cm="1">
        <f t="array" ref="AI21:AK21">+MMULT(AJ15:AL15,AJ17:AL19)</f>
        <v>1.8181818181818179</v>
      </c>
      <c r="AJ21">
        <v>0.27272727272727271</v>
      </c>
      <c r="AK21">
        <v>0</v>
      </c>
      <c r="AM21" t="s">
        <v>37</v>
      </c>
      <c r="AN21">
        <v>3</v>
      </c>
    </row>
    <row r="22" spans="1:40" x14ac:dyDescent="0.25">
      <c r="A22" t="s">
        <v>1</v>
      </c>
      <c r="B22">
        <v>400</v>
      </c>
      <c r="K22" t="s">
        <v>16</v>
      </c>
      <c r="L22">
        <v>140</v>
      </c>
      <c r="AN22">
        <v>2</v>
      </c>
    </row>
    <row r="23" spans="1:40" x14ac:dyDescent="0.25">
      <c r="B23">
        <v>240</v>
      </c>
      <c r="K23" t="s">
        <v>6</v>
      </c>
      <c r="L23">
        <v>80</v>
      </c>
      <c r="S23" cm="1">
        <f t="array" ref="S23:U23">+MMULT(T17:V17,T19:V21)</f>
        <v>1.8181818181818179</v>
      </c>
      <c r="T23">
        <v>0.27272727272727271</v>
      </c>
      <c r="U23">
        <v>0</v>
      </c>
      <c r="W23" t="s">
        <v>22</v>
      </c>
      <c r="X23">
        <v>0</v>
      </c>
      <c r="AA23" cm="1">
        <f t="array" ref="AA23">+MMULT(S23:U23,X23:X25)</f>
        <v>1.3636363636363635</v>
      </c>
      <c r="AN23">
        <v>5</v>
      </c>
    </row>
    <row r="24" spans="1:40" x14ac:dyDescent="0.25">
      <c r="K24" t="s">
        <v>7</v>
      </c>
      <c r="L24">
        <v>160</v>
      </c>
      <c r="S24">
        <f>20/11</f>
        <v>1.8181818181818181</v>
      </c>
      <c r="T24">
        <f>3/11</f>
        <v>0.27272727272727271</v>
      </c>
      <c r="X24">
        <v>5</v>
      </c>
      <c r="AA24" s="3">
        <f>+AA23-2</f>
        <v>-0.63636363636363646</v>
      </c>
    </row>
    <row r="25" spans="1:40" x14ac:dyDescent="0.25">
      <c r="A25" t="s">
        <v>3</v>
      </c>
      <c r="B25" cm="1">
        <f t="array" ref="B25:B27">+MMULT(B2:D4,B21:B23)</f>
        <v>104.54545454545455</v>
      </c>
      <c r="C25" t="s">
        <v>5</v>
      </c>
      <c r="X25">
        <v>3</v>
      </c>
      <c r="AJ25" s="3" cm="1">
        <f t="array" ref="AJ25">+MMULT(AI21:AK21,AN21:AN23)-10</f>
        <v>-4.0000000000000018</v>
      </c>
    </row>
    <row r="26" spans="1:40" x14ac:dyDescent="0.25">
      <c r="B26">
        <v>38.181818181818173</v>
      </c>
      <c r="C26" t="s">
        <v>6</v>
      </c>
      <c r="T26" t="s">
        <v>23</v>
      </c>
      <c r="U26">
        <v>2</v>
      </c>
    </row>
    <row r="27" spans="1:40" x14ac:dyDescent="0.25">
      <c r="B27">
        <v>-7.2727272727272521</v>
      </c>
      <c r="C27" t="s">
        <v>7</v>
      </c>
    </row>
    <row r="28" spans="1:40" x14ac:dyDescent="0.25">
      <c r="U28" t="s">
        <v>25</v>
      </c>
      <c r="V28">
        <f>1500/19</f>
        <v>78.94736842105263</v>
      </c>
    </row>
    <row r="29" spans="1:40" x14ac:dyDescent="0.25">
      <c r="U29" t="s">
        <v>26</v>
      </c>
      <c r="V29">
        <f>600/19</f>
        <v>31.578947368421051</v>
      </c>
    </row>
    <row r="30" spans="1:40" x14ac:dyDescent="0.25">
      <c r="U30" t="s">
        <v>27</v>
      </c>
      <c r="V30">
        <f>320/19</f>
        <v>16.842105263157894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2025-11-12T19:17:08Z</dcterms:created>
  <dcterms:modified xsi:type="dcterms:W3CDTF">2025-11-12T20:26:47Z</dcterms:modified>
</cp:coreProperties>
</file>