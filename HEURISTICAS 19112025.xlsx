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8_{853C16FE-BD1C-4E98-B983-4809904E2899}" xr6:coauthVersionLast="47" xr6:coauthVersionMax="47" xr10:uidLastSave="{00000000-0000-0000-0000-000000000000}"/>
  <bookViews>
    <workbookView xWindow="-120" yWindow="-120" windowWidth="29040" windowHeight="15720" activeTab="3" xr2:uid="{2A504049-904C-49CA-941A-3395BD7D6499}"/>
  </bookViews>
  <sheets>
    <sheet name="ESQ NOROESTE" sheetId="1" r:id="rId1"/>
    <sheet name="ESQ NOROESTE 2" sheetId="2" r:id="rId2"/>
    <sheet name="COSTO MIN" sheetId="3" r:id="rId3"/>
    <sheet name="COSTO MIN 2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4" l="1"/>
  <c r="G57" i="3"/>
  <c r="J37" i="2"/>
  <c r="G38" i="2"/>
  <c r="C31" i="2"/>
  <c r="B31" i="2"/>
  <c r="C22" i="2"/>
  <c r="B22" i="2"/>
  <c r="B13" i="2"/>
  <c r="F3" i="2"/>
  <c r="C9" i="2"/>
  <c r="G49" i="1"/>
  <c r="C45" i="1"/>
  <c r="C37" i="1"/>
</calcChain>
</file>

<file path=xl/sharedStrings.xml><?xml version="1.0" encoding="utf-8"?>
<sst xmlns="http://schemas.openxmlformats.org/spreadsheetml/2006/main" count="196" uniqueCount="9">
  <si>
    <t>plantas</t>
  </si>
  <si>
    <t>almacenes</t>
  </si>
  <si>
    <t>oferta</t>
  </si>
  <si>
    <t>demanda</t>
  </si>
  <si>
    <t>COSTOS</t>
  </si>
  <si>
    <t>ENTREGA</t>
  </si>
  <si>
    <t>90*10+90*9+5*10+50*6+40*9+60*6</t>
  </si>
  <si>
    <t>5F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</si>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</sst>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44" fontId="0" fillId="2" borderId="0" xfId="1" applyFont="1" applyFill="1"/>
    <xf numFmtId="0" fontId="0" fillId="3" borderId="0" xfId="0" applyFont="1" applyFill="1"/>
    <xf numFmtId="44" fontId="0" fillId="4" borderId="0" xfId="1" applyFont="1" applyFill="1"/>
    <xf numFmtId="0" fontId="0" fillId="4" borderId="0" xfId="0" applyFill="1"/>
    <xf numFmtId="44" fontId="0" fillId="5" borderId="0" xfId="1" applyFont="1" applyFill="1"/>
    <xf numFmtId="0" fontId="0" fillId="5" borderId="0" xfId="0" applyFill="1"/>
    <xf numFmtId="44" fontId="0" fillId="6" borderId="0" xfId="1" applyFont="1" applyFill="1"/>
    <xf numFmtId="0" fontId="0" fillId="6" borderId="0" xfId="0" applyFill="1"/>
    <xf numFmtId="0" fontId="0" fillId="7" borderId="0" xfId="0" applyFill="1"/>
    <xf numFmtId="44" fontId="0" fillId="7" borderId="0" xfId="1" applyFont="1" applyFill="1"/>
    <xf numFmtId="0" fontId="0" fillId="8" borderId="0" xfId="0" applyFill="1"/>
    <xf numFmtId="44" fontId="0" fillId="8" borderId="0" xfId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44" fontId="0" fillId="0" borderId="0" xfId="1" applyFont="1" applyFill="1"/>
    <xf numFmtId="0" fontId="0" fillId="0" borderId="0" xfId="1" applyNumberFormat="1" applyFont="1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1" applyNumberFormat="1" applyFont="1" applyFill="1" applyAlignment="1">
      <alignment horizontal="center" vertical="center"/>
    </xf>
    <xf numFmtId="44" fontId="0" fillId="3" borderId="0" xfId="1" applyFont="1" applyFill="1"/>
    <xf numFmtId="0" fontId="0" fillId="3" borderId="0" xfId="1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AFD0-4D64-435E-BC06-207992191DB2}">
  <dimension ref="A1:K56"/>
  <sheetViews>
    <sheetView topLeftCell="A43" zoomScale="190" zoomScaleNormal="190" workbookViewId="0">
      <selection activeCell="G49" sqref="G49"/>
    </sheetView>
  </sheetViews>
  <sheetFormatPr baseColWidth="10" defaultRowHeight="15" x14ac:dyDescent="0.25"/>
  <sheetData>
    <row r="1" spans="1:11" x14ac:dyDescent="0.25">
      <c r="B1" s="2" t="s">
        <v>1</v>
      </c>
      <c r="C1" s="2"/>
      <c r="D1" s="2"/>
    </row>
    <row r="2" spans="1:11" x14ac:dyDescent="0.25">
      <c r="A2" t="s">
        <v>0</v>
      </c>
      <c r="B2">
        <v>1</v>
      </c>
      <c r="C2">
        <v>2</v>
      </c>
      <c r="D2">
        <v>3</v>
      </c>
      <c r="E2" t="s">
        <v>2</v>
      </c>
    </row>
    <row r="3" spans="1:11" x14ac:dyDescent="0.25">
      <c r="A3">
        <v>1</v>
      </c>
      <c r="B3" s="5">
        <v>10</v>
      </c>
      <c r="C3" s="1">
        <v>8</v>
      </c>
      <c r="D3" s="1">
        <v>4</v>
      </c>
      <c r="E3">
        <v>90</v>
      </c>
    </row>
    <row r="4" spans="1:11" x14ac:dyDescent="0.25">
      <c r="A4">
        <v>2</v>
      </c>
      <c r="B4" s="1">
        <v>9</v>
      </c>
      <c r="C4" s="1">
        <v>5</v>
      </c>
      <c r="D4" s="1">
        <v>7</v>
      </c>
      <c r="E4">
        <v>100</v>
      </c>
    </row>
    <row r="5" spans="1:11" x14ac:dyDescent="0.25">
      <c r="A5">
        <v>3</v>
      </c>
      <c r="B5" s="1">
        <v>3</v>
      </c>
      <c r="C5" s="1">
        <v>6</v>
      </c>
      <c r="D5" s="1">
        <v>9</v>
      </c>
      <c r="E5">
        <v>90</v>
      </c>
    </row>
    <row r="6" spans="1:11" x14ac:dyDescent="0.25">
      <c r="A6">
        <v>4</v>
      </c>
      <c r="B6" s="1">
        <v>5</v>
      </c>
      <c r="C6" s="1">
        <v>7</v>
      </c>
      <c r="D6" s="1">
        <v>6</v>
      </c>
      <c r="E6">
        <v>60</v>
      </c>
    </row>
    <row r="7" spans="1:11" x14ac:dyDescent="0.25">
      <c r="A7" t="s">
        <v>3</v>
      </c>
      <c r="B7">
        <v>180</v>
      </c>
      <c r="C7">
        <v>60</v>
      </c>
      <c r="D7">
        <v>100</v>
      </c>
    </row>
    <row r="9" spans="1:11" x14ac:dyDescent="0.25">
      <c r="B9" s="2" t="s">
        <v>1</v>
      </c>
      <c r="C9" s="2"/>
      <c r="D9" s="2"/>
      <c r="G9" t="s">
        <v>5</v>
      </c>
      <c r="H9" s="2" t="s">
        <v>1</v>
      </c>
      <c r="I9" s="2"/>
      <c r="J9" s="2"/>
    </row>
    <row r="10" spans="1:11" x14ac:dyDescent="0.25">
      <c r="A10" t="s">
        <v>0</v>
      </c>
      <c r="B10">
        <v>1</v>
      </c>
      <c r="C10">
        <v>2</v>
      </c>
      <c r="D10">
        <v>3</v>
      </c>
      <c r="E10" t="s">
        <v>2</v>
      </c>
      <c r="G10" t="s">
        <v>0</v>
      </c>
      <c r="H10">
        <v>1</v>
      </c>
      <c r="I10">
        <v>2</v>
      </c>
      <c r="J10">
        <v>3</v>
      </c>
      <c r="K10" t="s">
        <v>2</v>
      </c>
    </row>
    <row r="11" spans="1:11" x14ac:dyDescent="0.25">
      <c r="A11">
        <v>1</v>
      </c>
      <c r="B11" s="6">
        <v>90</v>
      </c>
      <c r="C11" s="4"/>
      <c r="D11" s="4"/>
      <c r="E11" s="4">
        <v>90</v>
      </c>
      <c r="G11">
        <v>1</v>
      </c>
      <c r="H11">
        <v>90</v>
      </c>
      <c r="K11">
        <v>90</v>
      </c>
    </row>
    <row r="12" spans="1:11" x14ac:dyDescent="0.25">
      <c r="A12">
        <v>2</v>
      </c>
      <c r="B12" s="3"/>
      <c r="E12">
        <v>100</v>
      </c>
      <c r="G12">
        <v>2</v>
      </c>
      <c r="K12">
        <v>100</v>
      </c>
    </row>
    <row r="13" spans="1:11" x14ac:dyDescent="0.25">
      <c r="A13">
        <v>3</v>
      </c>
      <c r="E13">
        <v>90</v>
      </c>
      <c r="G13">
        <v>3</v>
      </c>
      <c r="K13">
        <v>90</v>
      </c>
    </row>
    <row r="14" spans="1:11" x14ac:dyDescent="0.25">
      <c r="A14">
        <v>4</v>
      </c>
      <c r="E14">
        <v>60</v>
      </c>
      <c r="G14">
        <v>4</v>
      </c>
      <c r="K14">
        <v>60</v>
      </c>
    </row>
    <row r="15" spans="1:11" x14ac:dyDescent="0.25">
      <c r="A15" t="s">
        <v>3</v>
      </c>
      <c r="B15">
        <v>90</v>
      </c>
      <c r="C15">
        <v>60</v>
      </c>
      <c r="D15">
        <v>100</v>
      </c>
      <c r="G15" t="s">
        <v>3</v>
      </c>
      <c r="H15">
        <v>180</v>
      </c>
      <c r="I15">
        <v>60</v>
      </c>
      <c r="J15">
        <v>100</v>
      </c>
    </row>
    <row r="17" spans="1:11" x14ac:dyDescent="0.25">
      <c r="B17" s="2" t="s">
        <v>1</v>
      </c>
      <c r="C17" s="2"/>
      <c r="D17" s="2"/>
      <c r="G17" t="s">
        <v>5</v>
      </c>
      <c r="H17" s="2" t="s">
        <v>1</v>
      </c>
      <c r="I17" s="2"/>
      <c r="J17" s="2"/>
      <c r="K17" t="s">
        <v>2</v>
      </c>
    </row>
    <row r="18" spans="1:11" x14ac:dyDescent="0.25">
      <c r="A18" t="s">
        <v>0</v>
      </c>
      <c r="B18">
        <v>1</v>
      </c>
      <c r="C18">
        <v>2</v>
      </c>
      <c r="D18">
        <v>3</v>
      </c>
      <c r="E18" t="s">
        <v>2</v>
      </c>
      <c r="G18" t="s">
        <v>0</v>
      </c>
      <c r="H18">
        <v>1</v>
      </c>
      <c r="I18">
        <v>2</v>
      </c>
      <c r="J18">
        <v>3</v>
      </c>
    </row>
    <row r="19" spans="1:11" x14ac:dyDescent="0.25">
      <c r="A19">
        <v>1</v>
      </c>
      <c r="B19" s="6">
        <v>90</v>
      </c>
      <c r="C19" s="4"/>
      <c r="D19" s="4"/>
      <c r="E19" s="4">
        <v>90</v>
      </c>
      <c r="G19">
        <v>1</v>
      </c>
      <c r="H19">
        <v>90</v>
      </c>
      <c r="K19">
        <v>90</v>
      </c>
    </row>
    <row r="20" spans="1:11" x14ac:dyDescent="0.25">
      <c r="A20">
        <v>2</v>
      </c>
      <c r="B20" s="6">
        <v>90</v>
      </c>
      <c r="C20" s="3"/>
      <c r="E20">
        <v>10</v>
      </c>
      <c r="G20">
        <v>2</v>
      </c>
      <c r="H20">
        <v>90</v>
      </c>
      <c r="K20">
        <v>100</v>
      </c>
    </row>
    <row r="21" spans="1:11" x14ac:dyDescent="0.25">
      <c r="A21">
        <v>3</v>
      </c>
      <c r="B21" s="4"/>
      <c r="E21">
        <v>90</v>
      </c>
      <c r="G21">
        <v>3</v>
      </c>
      <c r="K21">
        <v>90</v>
      </c>
    </row>
    <row r="22" spans="1:11" x14ac:dyDescent="0.25">
      <c r="A22">
        <v>4</v>
      </c>
      <c r="B22" s="4"/>
      <c r="E22">
        <v>60</v>
      </c>
      <c r="G22">
        <v>4</v>
      </c>
      <c r="K22">
        <v>60</v>
      </c>
    </row>
    <row r="23" spans="1:11" x14ac:dyDescent="0.25">
      <c r="A23" t="s">
        <v>3</v>
      </c>
      <c r="B23" s="4">
        <v>90</v>
      </c>
      <c r="C23">
        <v>60</v>
      </c>
      <c r="D23">
        <v>100</v>
      </c>
      <c r="G23" t="s">
        <v>3</v>
      </c>
      <c r="H23">
        <v>180</v>
      </c>
      <c r="I23">
        <v>60</v>
      </c>
      <c r="J23">
        <v>100</v>
      </c>
    </row>
    <row r="25" spans="1:11" x14ac:dyDescent="0.25">
      <c r="B25" s="2" t="s">
        <v>1</v>
      </c>
      <c r="C25" s="2"/>
      <c r="D25" s="2"/>
      <c r="G25" t="s">
        <v>5</v>
      </c>
      <c r="H25" s="2" t="s">
        <v>1</v>
      </c>
      <c r="I25" s="2"/>
      <c r="J25" s="2"/>
      <c r="K25" t="s">
        <v>2</v>
      </c>
    </row>
    <row r="26" spans="1:11" x14ac:dyDescent="0.25">
      <c r="A26" t="s">
        <v>0</v>
      </c>
      <c r="B26">
        <v>1</v>
      </c>
      <c r="C26">
        <v>2</v>
      </c>
      <c r="D26">
        <v>3</v>
      </c>
      <c r="E26" t="s">
        <v>2</v>
      </c>
      <c r="G26" t="s">
        <v>0</v>
      </c>
      <c r="H26">
        <v>1</v>
      </c>
      <c r="I26">
        <v>2</v>
      </c>
      <c r="J26">
        <v>3</v>
      </c>
    </row>
    <row r="27" spans="1:11" x14ac:dyDescent="0.25">
      <c r="A27">
        <v>1</v>
      </c>
      <c r="B27" s="6">
        <v>90</v>
      </c>
      <c r="C27" s="4"/>
      <c r="D27" s="4"/>
      <c r="E27" s="4">
        <v>90</v>
      </c>
      <c r="G27">
        <v>1</v>
      </c>
      <c r="H27">
        <v>90</v>
      </c>
      <c r="K27">
        <v>90</v>
      </c>
    </row>
    <row r="28" spans="1:11" x14ac:dyDescent="0.25">
      <c r="A28">
        <v>2</v>
      </c>
      <c r="B28" s="6">
        <v>90</v>
      </c>
      <c r="C28" s="4">
        <v>10</v>
      </c>
      <c r="D28" s="4"/>
      <c r="E28" s="4">
        <v>10</v>
      </c>
      <c r="G28">
        <v>2</v>
      </c>
      <c r="H28">
        <v>90</v>
      </c>
      <c r="I28">
        <v>10</v>
      </c>
      <c r="K28">
        <v>100</v>
      </c>
    </row>
    <row r="29" spans="1:11" x14ac:dyDescent="0.25">
      <c r="A29">
        <v>3</v>
      </c>
      <c r="B29" s="4"/>
      <c r="C29" s="3"/>
      <c r="E29">
        <v>90</v>
      </c>
      <c r="G29">
        <v>3</v>
      </c>
      <c r="K29">
        <v>90</v>
      </c>
    </row>
    <row r="30" spans="1:11" x14ac:dyDescent="0.25">
      <c r="A30">
        <v>4</v>
      </c>
      <c r="B30" s="4"/>
      <c r="E30">
        <v>60</v>
      </c>
      <c r="G30">
        <v>4</v>
      </c>
      <c r="K30">
        <v>60</v>
      </c>
    </row>
    <row r="31" spans="1:11" x14ac:dyDescent="0.25">
      <c r="A31" t="s">
        <v>3</v>
      </c>
      <c r="B31" s="4">
        <v>90</v>
      </c>
      <c r="C31">
        <v>50</v>
      </c>
      <c r="D31">
        <v>100</v>
      </c>
      <c r="G31" t="s">
        <v>3</v>
      </c>
      <c r="H31">
        <v>180</v>
      </c>
      <c r="I31">
        <v>60</v>
      </c>
      <c r="J31">
        <v>100</v>
      </c>
    </row>
    <row r="33" spans="1:11" x14ac:dyDescent="0.25">
      <c r="B33" s="2" t="s">
        <v>1</v>
      </c>
      <c r="C33" s="2"/>
      <c r="D33" s="2"/>
      <c r="G33" t="s">
        <v>5</v>
      </c>
      <c r="H33" s="2" t="s">
        <v>1</v>
      </c>
      <c r="I33" s="2"/>
      <c r="J33" s="2"/>
      <c r="K33" t="s">
        <v>2</v>
      </c>
    </row>
    <row r="34" spans="1:11" x14ac:dyDescent="0.25">
      <c r="A34" t="s">
        <v>0</v>
      </c>
      <c r="B34">
        <v>1</v>
      </c>
      <c r="C34">
        <v>2</v>
      </c>
      <c r="D34">
        <v>3</v>
      </c>
      <c r="E34" t="s">
        <v>2</v>
      </c>
      <c r="G34" t="s">
        <v>0</v>
      </c>
      <c r="H34">
        <v>1</v>
      </c>
      <c r="I34">
        <v>2</v>
      </c>
      <c r="J34">
        <v>3</v>
      </c>
    </row>
    <row r="35" spans="1:11" x14ac:dyDescent="0.25">
      <c r="A35">
        <v>1</v>
      </c>
      <c r="B35" s="6">
        <v>90</v>
      </c>
      <c r="C35" s="4"/>
      <c r="D35" s="4"/>
      <c r="E35" s="4">
        <v>90</v>
      </c>
      <c r="G35">
        <v>1</v>
      </c>
      <c r="H35">
        <v>90</v>
      </c>
      <c r="K35">
        <v>90</v>
      </c>
    </row>
    <row r="36" spans="1:11" x14ac:dyDescent="0.25">
      <c r="A36">
        <v>2</v>
      </c>
      <c r="B36" s="6">
        <v>90</v>
      </c>
      <c r="C36" s="4">
        <v>10</v>
      </c>
      <c r="D36" s="4"/>
      <c r="E36" s="4">
        <v>10</v>
      </c>
      <c r="G36">
        <v>2</v>
      </c>
      <c r="H36">
        <v>90</v>
      </c>
      <c r="I36">
        <v>10</v>
      </c>
      <c r="K36">
        <v>100</v>
      </c>
    </row>
    <row r="37" spans="1:11" x14ac:dyDescent="0.25">
      <c r="A37">
        <v>3</v>
      </c>
      <c r="B37" s="4"/>
      <c r="C37" s="4">
        <f>+MIN(E37,C39)</f>
        <v>40</v>
      </c>
      <c r="D37" s="3"/>
      <c r="E37">
        <v>40</v>
      </c>
      <c r="G37">
        <v>3</v>
      </c>
      <c r="I37">
        <v>50</v>
      </c>
      <c r="K37">
        <v>90</v>
      </c>
    </row>
    <row r="38" spans="1:11" x14ac:dyDescent="0.25">
      <c r="A38">
        <v>4</v>
      </c>
      <c r="B38" s="4"/>
      <c r="C38" s="4"/>
      <c r="E38">
        <v>60</v>
      </c>
      <c r="G38">
        <v>4</v>
      </c>
      <c r="K38">
        <v>60</v>
      </c>
    </row>
    <row r="39" spans="1:11" x14ac:dyDescent="0.25">
      <c r="A39" t="s">
        <v>3</v>
      </c>
      <c r="B39" s="4">
        <v>90</v>
      </c>
      <c r="C39" s="4">
        <v>50</v>
      </c>
      <c r="D39">
        <v>100</v>
      </c>
      <c r="G39" t="s">
        <v>3</v>
      </c>
      <c r="H39">
        <v>180</v>
      </c>
      <c r="I39">
        <v>60</v>
      </c>
      <c r="J39">
        <v>100</v>
      </c>
    </row>
    <row r="41" spans="1:11" x14ac:dyDescent="0.25">
      <c r="B41" s="2" t="s">
        <v>1</v>
      </c>
      <c r="C41" s="2"/>
      <c r="D41" s="2"/>
      <c r="G41" t="s">
        <v>5</v>
      </c>
      <c r="H41" s="2" t="s">
        <v>1</v>
      </c>
      <c r="I41" s="2"/>
      <c r="J41" s="2"/>
      <c r="K41" t="s">
        <v>2</v>
      </c>
    </row>
    <row r="42" spans="1:11" x14ac:dyDescent="0.25">
      <c r="A42" t="s">
        <v>0</v>
      </c>
      <c r="B42">
        <v>1</v>
      </c>
      <c r="C42">
        <v>2</v>
      </c>
      <c r="D42">
        <v>3</v>
      </c>
      <c r="E42" t="s">
        <v>2</v>
      </c>
      <c r="G42" t="s">
        <v>0</v>
      </c>
      <c r="H42">
        <v>1</v>
      </c>
      <c r="I42">
        <v>2</v>
      </c>
      <c r="J42">
        <v>3</v>
      </c>
    </row>
    <row r="43" spans="1:11" x14ac:dyDescent="0.25">
      <c r="A43">
        <v>1</v>
      </c>
      <c r="B43" s="6">
        <v>90</v>
      </c>
      <c r="C43" s="4"/>
      <c r="D43" s="4"/>
      <c r="E43" s="4">
        <v>90</v>
      </c>
      <c r="G43">
        <v>1</v>
      </c>
      <c r="H43" s="3">
        <v>90</v>
      </c>
      <c r="K43">
        <v>90</v>
      </c>
    </row>
    <row r="44" spans="1:11" x14ac:dyDescent="0.25">
      <c r="A44">
        <v>2</v>
      </c>
      <c r="B44" s="6">
        <v>90</v>
      </c>
      <c r="C44" s="4">
        <v>10</v>
      </c>
      <c r="D44" s="4"/>
      <c r="E44" s="4">
        <v>10</v>
      </c>
      <c r="G44">
        <v>2</v>
      </c>
      <c r="H44" s="8">
        <v>90</v>
      </c>
      <c r="I44" s="10">
        <v>10</v>
      </c>
      <c r="K44">
        <v>100</v>
      </c>
    </row>
    <row r="45" spans="1:11" x14ac:dyDescent="0.25">
      <c r="A45">
        <v>3</v>
      </c>
      <c r="B45" s="4"/>
      <c r="C45" s="4">
        <f>+MIN(E45,C47)</f>
        <v>40</v>
      </c>
      <c r="D45" s="4">
        <v>40</v>
      </c>
      <c r="E45" s="4">
        <v>40</v>
      </c>
      <c r="G45">
        <v>3</v>
      </c>
      <c r="I45" s="12">
        <v>50</v>
      </c>
      <c r="J45" s="13">
        <v>40</v>
      </c>
      <c r="K45">
        <v>90</v>
      </c>
    </row>
    <row r="46" spans="1:11" x14ac:dyDescent="0.25">
      <c r="A46">
        <v>4</v>
      </c>
      <c r="B46" s="4"/>
      <c r="C46" s="4"/>
      <c r="D46" s="4">
        <v>60</v>
      </c>
      <c r="E46" s="4">
        <v>60</v>
      </c>
      <c r="G46">
        <v>4</v>
      </c>
      <c r="J46" s="15">
        <v>60</v>
      </c>
      <c r="K46">
        <v>60</v>
      </c>
    </row>
    <row r="47" spans="1:11" x14ac:dyDescent="0.25">
      <c r="A47" t="s">
        <v>3</v>
      </c>
      <c r="B47" s="4">
        <v>90</v>
      </c>
      <c r="C47" s="4">
        <v>50</v>
      </c>
      <c r="D47" s="4">
        <v>100</v>
      </c>
      <c r="E47" s="4"/>
      <c r="G47" t="s">
        <v>3</v>
      </c>
      <c r="H47">
        <v>180</v>
      </c>
      <c r="I47">
        <v>60</v>
      </c>
      <c r="J47">
        <v>100</v>
      </c>
    </row>
    <row r="49" spans="3:8" x14ac:dyDescent="0.25">
      <c r="F49" t="s">
        <v>4</v>
      </c>
      <c r="G49">
        <f>+SUMPRODUCT(B3:D6,H43:J46)</f>
        <v>2780</v>
      </c>
      <c r="H49" t="s">
        <v>6</v>
      </c>
    </row>
    <row r="52" spans="3:8" x14ac:dyDescent="0.25">
      <c r="C52" t="s">
        <v>0</v>
      </c>
      <c r="D52">
        <v>1</v>
      </c>
      <c r="E52">
        <v>2</v>
      </c>
      <c r="F52">
        <v>3</v>
      </c>
    </row>
    <row r="53" spans="3:8" x14ac:dyDescent="0.25">
      <c r="C53">
        <v>1</v>
      </c>
      <c r="D53" s="5">
        <v>10</v>
      </c>
      <c r="E53" s="1">
        <v>8</v>
      </c>
      <c r="F53" s="1">
        <v>4</v>
      </c>
    </row>
    <row r="54" spans="3:8" x14ac:dyDescent="0.25">
      <c r="C54">
        <v>2</v>
      </c>
      <c r="D54" s="7">
        <v>9</v>
      </c>
      <c r="E54" s="9">
        <v>5</v>
      </c>
      <c r="F54" s="1">
        <v>7</v>
      </c>
    </row>
    <row r="55" spans="3:8" x14ac:dyDescent="0.25">
      <c r="C55">
        <v>3</v>
      </c>
      <c r="D55" s="1">
        <v>3</v>
      </c>
      <c r="E55" s="11">
        <v>6</v>
      </c>
      <c r="F55" s="14">
        <v>9</v>
      </c>
    </row>
    <row r="56" spans="3:8" x14ac:dyDescent="0.25">
      <c r="C56">
        <v>4</v>
      </c>
      <c r="D56" s="1">
        <v>5</v>
      </c>
      <c r="E56" s="1">
        <v>7</v>
      </c>
      <c r="F56" s="16">
        <v>6</v>
      </c>
    </row>
  </sheetData>
  <mergeCells count="11">
    <mergeCell ref="B33:D33"/>
    <mergeCell ref="H33:J33"/>
    <mergeCell ref="B41:D41"/>
    <mergeCell ref="H41:J41"/>
    <mergeCell ref="B1:D1"/>
    <mergeCell ref="B9:D9"/>
    <mergeCell ref="H9:J9"/>
    <mergeCell ref="B17:D17"/>
    <mergeCell ref="H17:J17"/>
    <mergeCell ref="B25:D25"/>
    <mergeCell ref="H25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5993-4449-4233-B2A9-67E12EFE357B}">
  <dimension ref="A1:K38"/>
  <sheetViews>
    <sheetView topLeftCell="A25" zoomScale="210" zoomScaleNormal="210" workbookViewId="0">
      <selection activeCell="G38" sqref="G38"/>
    </sheetView>
  </sheetViews>
  <sheetFormatPr baseColWidth="10" defaultRowHeight="15" x14ac:dyDescent="0.25"/>
  <sheetData>
    <row r="1" spans="1:11" x14ac:dyDescent="0.25">
      <c r="A1" s="17"/>
      <c r="B1" s="18" t="s">
        <v>1</v>
      </c>
      <c r="C1" s="18"/>
      <c r="D1" s="18"/>
      <c r="E1" s="17"/>
    </row>
    <row r="2" spans="1:11" x14ac:dyDescent="0.25">
      <c r="A2" s="17" t="s">
        <v>0</v>
      </c>
      <c r="B2" s="17">
        <v>1</v>
      </c>
      <c r="C2" s="17">
        <v>2</v>
      </c>
      <c r="D2" s="17">
        <v>3</v>
      </c>
      <c r="E2" s="17" t="s">
        <v>2</v>
      </c>
    </row>
    <row r="3" spans="1:11" x14ac:dyDescent="0.25">
      <c r="A3" s="17">
        <v>1</v>
      </c>
      <c r="B3" s="5">
        <v>19</v>
      </c>
      <c r="C3" s="19">
        <v>16</v>
      </c>
      <c r="D3" s="19">
        <v>11</v>
      </c>
      <c r="E3" s="20">
        <v>130</v>
      </c>
      <c r="F3">
        <f>+SUM(E3:E7)</f>
        <v>320</v>
      </c>
    </row>
    <row r="4" spans="1:11" x14ac:dyDescent="0.25">
      <c r="A4" s="17">
        <v>2</v>
      </c>
      <c r="B4" s="19">
        <v>11</v>
      </c>
      <c r="C4" s="19">
        <v>8</v>
      </c>
      <c r="D4" s="19">
        <v>6</v>
      </c>
      <c r="E4" s="20">
        <v>60</v>
      </c>
    </row>
    <row r="5" spans="1:11" x14ac:dyDescent="0.25">
      <c r="A5" s="17">
        <v>3</v>
      </c>
      <c r="B5" s="19">
        <v>13</v>
      </c>
      <c r="C5" s="19">
        <v>9</v>
      </c>
      <c r="D5" s="19">
        <v>18</v>
      </c>
      <c r="E5" s="20">
        <v>28</v>
      </c>
    </row>
    <row r="6" spans="1:11" x14ac:dyDescent="0.25">
      <c r="A6" s="17">
        <v>4</v>
      </c>
      <c r="B6" s="19">
        <v>17</v>
      </c>
      <c r="C6" s="19">
        <v>5</v>
      </c>
      <c r="D6" s="19">
        <v>15</v>
      </c>
      <c r="E6" s="20">
        <v>93</v>
      </c>
    </row>
    <row r="7" spans="1:11" x14ac:dyDescent="0.25">
      <c r="A7" s="17" t="s">
        <v>7</v>
      </c>
      <c r="B7" s="19">
        <v>0</v>
      </c>
      <c r="C7" s="19">
        <v>0</v>
      </c>
      <c r="D7" s="19">
        <v>0</v>
      </c>
      <c r="E7" s="20">
        <v>9</v>
      </c>
    </row>
    <row r="8" spans="1:11" x14ac:dyDescent="0.25">
      <c r="A8" s="17" t="s">
        <v>3</v>
      </c>
      <c r="B8" s="17">
        <v>90</v>
      </c>
      <c r="C8" s="17">
        <v>80</v>
      </c>
      <c r="D8" s="17">
        <v>150</v>
      </c>
    </row>
    <row r="9" spans="1:11" x14ac:dyDescent="0.25">
      <c r="C9" s="17">
        <f>SUM(B8:D8)</f>
        <v>320</v>
      </c>
    </row>
    <row r="11" spans="1:11" x14ac:dyDescent="0.25">
      <c r="A11" s="17"/>
      <c r="B11" s="18" t="s">
        <v>1</v>
      </c>
      <c r="C11" s="18"/>
      <c r="D11" s="18"/>
      <c r="E11" s="17"/>
      <c r="G11" s="17" t="s">
        <v>5</v>
      </c>
      <c r="H11" s="18" t="s">
        <v>1</v>
      </c>
      <c r="I11" s="18"/>
      <c r="J11" s="18"/>
      <c r="K11" s="17"/>
    </row>
    <row r="12" spans="1:11" x14ac:dyDescent="0.25">
      <c r="A12" s="17" t="s">
        <v>0</v>
      </c>
      <c r="B12" s="17">
        <v>1</v>
      </c>
      <c r="C12" s="17">
        <v>2</v>
      </c>
      <c r="D12" s="17">
        <v>3</v>
      </c>
      <c r="E12" s="17" t="s">
        <v>2</v>
      </c>
      <c r="G12" s="17" t="s">
        <v>0</v>
      </c>
      <c r="H12" s="17">
        <v>1</v>
      </c>
      <c r="I12" s="17">
        <v>2</v>
      </c>
      <c r="J12" s="17">
        <v>3</v>
      </c>
      <c r="K12" s="17" t="s">
        <v>2</v>
      </c>
    </row>
    <row r="13" spans="1:11" x14ac:dyDescent="0.25">
      <c r="A13" s="21">
        <v>1</v>
      </c>
      <c r="B13" s="24">
        <f>+MIN(B8,E3)</f>
        <v>90</v>
      </c>
      <c r="C13" s="25"/>
      <c r="D13" s="22"/>
      <c r="E13" s="23">
        <v>40</v>
      </c>
      <c r="G13" s="21">
        <v>1</v>
      </c>
      <c r="H13" s="22">
        <v>90</v>
      </c>
      <c r="I13" s="22"/>
      <c r="J13" s="22"/>
      <c r="K13" s="23">
        <v>130</v>
      </c>
    </row>
    <row r="14" spans="1:11" x14ac:dyDescent="0.25">
      <c r="A14" s="21">
        <v>2</v>
      </c>
      <c r="B14" s="24"/>
      <c r="C14" s="22"/>
      <c r="D14" s="22"/>
      <c r="E14" s="23">
        <v>60</v>
      </c>
      <c r="G14" s="21">
        <v>2</v>
      </c>
      <c r="H14" s="22"/>
      <c r="I14" s="22"/>
      <c r="J14" s="22"/>
      <c r="K14" s="23">
        <v>60</v>
      </c>
    </row>
    <row r="15" spans="1:11" x14ac:dyDescent="0.25">
      <c r="A15" s="21">
        <v>3</v>
      </c>
      <c r="B15" s="24"/>
      <c r="C15" s="22"/>
      <c r="D15" s="22"/>
      <c r="E15" s="23">
        <v>28</v>
      </c>
      <c r="G15" s="21">
        <v>3</v>
      </c>
      <c r="H15" s="22"/>
      <c r="I15" s="22"/>
      <c r="J15" s="22"/>
      <c r="K15" s="23">
        <v>28</v>
      </c>
    </row>
    <row r="16" spans="1:11" x14ac:dyDescent="0.25">
      <c r="A16" s="21">
        <v>4</v>
      </c>
      <c r="B16" s="24"/>
      <c r="C16" s="22"/>
      <c r="D16" s="22"/>
      <c r="E16" s="23">
        <v>93</v>
      </c>
      <c r="G16" s="21">
        <v>4</v>
      </c>
      <c r="H16" s="22"/>
      <c r="I16" s="22"/>
      <c r="J16" s="22"/>
      <c r="K16" s="23">
        <v>93</v>
      </c>
    </row>
    <row r="17" spans="1:11" x14ac:dyDescent="0.25">
      <c r="A17" s="21" t="s">
        <v>7</v>
      </c>
      <c r="B17" s="24"/>
      <c r="C17" s="22"/>
      <c r="D17" s="22"/>
      <c r="E17" s="23">
        <v>9</v>
      </c>
      <c r="G17" s="21" t="s">
        <v>7</v>
      </c>
      <c r="H17" s="22"/>
      <c r="I17" s="22"/>
      <c r="J17" s="22"/>
      <c r="K17" s="23">
        <v>9</v>
      </c>
    </row>
    <row r="18" spans="1:11" x14ac:dyDescent="0.25">
      <c r="A18" s="17" t="s">
        <v>3</v>
      </c>
      <c r="B18" s="4">
        <v>90</v>
      </c>
      <c r="C18" s="17">
        <v>80</v>
      </c>
      <c r="D18" s="17">
        <v>150</v>
      </c>
      <c r="G18" s="17" t="s">
        <v>3</v>
      </c>
      <c r="H18" s="17">
        <v>90</v>
      </c>
      <c r="I18" s="17">
        <v>80</v>
      </c>
      <c r="J18" s="17">
        <v>150</v>
      </c>
    </row>
    <row r="20" spans="1:11" x14ac:dyDescent="0.25">
      <c r="A20" s="17"/>
      <c r="B20" s="18" t="s">
        <v>1</v>
      </c>
      <c r="C20" s="18"/>
      <c r="D20" s="18"/>
      <c r="E20" s="17"/>
      <c r="G20" s="17" t="s">
        <v>5</v>
      </c>
      <c r="H20" s="18" t="s">
        <v>1</v>
      </c>
      <c r="I20" s="18"/>
      <c r="J20" s="18"/>
      <c r="K20" s="17"/>
    </row>
    <row r="21" spans="1:11" x14ac:dyDescent="0.25">
      <c r="A21" s="17" t="s">
        <v>0</v>
      </c>
      <c r="B21" s="17">
        <v>1</v>
      </c>
      <c r="C21" s="17">
        <v>2</v>
      </c>
      <c r="D21" s="17">
        <v>3</v>
      </c>
      <c r="E21" s="17" t="s">
        <v>2</v>
      </c>
      <c r="G21" s="17" t="s">
        <v>0</v>
      </c>
      <c r="H21" s="17">
        <v>1</v>
      </c>
      <c r="I21" s="17">
        <v>2</v>
      </c>
      <c r="J21" s="17">
        <v>3</v>
      </c>
      <c r="K21" s="17" t="s">
        <v>2</v>
      </c>
    </row>
    <row r="22" spans="1:11" x14ac:dyDescent="0.25">
      <c r="A22" s="21">
        <v>1</v>
      </c>
      <c r="B22" s="24">
        <f>+MIN(B17,E12)</f>
        <v>0</v>
      </c>
      <c r="C22" s="24">
        <f>+MIN(E22,C27)</f>
        <v>40</v>
      </c>
      <c r="D22" s="24"/>
      <c r="E22" s="26">
        <v>40</v>
      </c>
      <c r="G22" s="21">
        <v>1</v>
      </c>
      <c r="H22" s="22">
        <v>90</v>
      </c>
      <c r="I22" s="22">
        <v>40</v>
      </c>
      <c r="J22" s="22"/>
      <c r="K22" s="23">
        <v>130</v>
      </c>
    </row>
    <row r="23" spans="1:11" x14ac:dyDescent="0.25">
      <c r="A23" s="21">
        <v>2</v>
      </c>
      <c r="B23" s="24"/>
      <c r="C23" s="25"/>
      <c r="D23" s="22"/>
      <c r="E23" s="23">
        <v>60</v>
      </c>
      <c r="G23" s="21">
        <v>2</v>
      </c>
      <c r="H23" s="22"/>
      <c r="I23" s="22"/>
      <c r="J23" s="22"/>
      <c r="K23" s="23">
        <v>60</v>
      </c>
    </row>
    <row r="24" spans="1:11" x14ac:dyDescent="0.25">
      <c r="A24" s="21">
        <v>3</v>
      </c>
      <c r="B24" s="24"/>
      <c r="C24" s="22"/>
      <c r="D24" s="22"/>
      <c r="E24" s="23">
        <v>28</v>
      </c>
      <c r="G24" s="21">
        <v>3</v>
      </c>
      <c r="H24" s="22"/>
      <c r="I24" s="22"/>
      <c r="J24" s="22"/>
      <c r="K24" s="23">
        <v>28</v>
      </c>
    </row>
    <row r="25" spans="1:11" x14ac:dyDescent="0.25">
      <c r="A25" s="21">
        <v>4</v>
      </c>
      <c r="B25" s="24"/>
      <c r="C25" s="22"/>
      <c r="D25" s="22"/>
      <c r="E25" s="23">
        <v>93</v>
      </c>
      <c r="G25" s="21">
        <v>4</v>
      </c>
      <c r="H25" s="22"/>
      <c r="I25" s="22"/>
      <c r="J25" s="22"/>
      <c r="K25" s="23">
        <v>93</v>
      </c>
    </row>
    <row r="26" spans="1:11" x14ac:dyDescent="0.25">
      <c r="A26" s="21" t="s">
        <v>7</v>
      </c>
      <c r="B26" s="24"/>
      <c r="C26" s="22"/>
      <c r="D26" s="22"/>
      <c r="E26" s="23">
        <v>9</v>
      </c>
      <c r="G26" s="21" t="s">
        <v>7</v>
      </c>
      <c r="H26" s="22"/>
      <c r="I26" s="22"/>
      <c r="J26" s="22"/>
      <c r="K26" s="23">
        <v>9</v>
      </c>
    </row>
    <row r="27" spans="1:11" x14ac:dyDescent="0.25">
      <c r="A27" s="17" t="s">
        <v>3</v>
      </c>
      <c r="B27" s="4">
        <v>90</v>
      </c>
      <c r="C27" s="17">
        <v>40</v>
      </c>
      <c r="D27" s="17">
        <v>150</v>
      </c>
      <c r="G27" s="17" t="s">
        <v>3</v>
      </c>
      <c r="H27" s="17">
        <v>90</v>
      </c>
      <c r="I27" s="17">
        <v>80</v>
      </c>
      <c r="J27" s="17">
        <v>150</v>
      </c>
    </row>
    <row r="29" spans="1:11" x14ac:dyDescent="0.25">
      <c r="A29" s="17"/>
      <c r="B29" s="18" t="s">
        <v>1</v>
      </c>
      <c r="C29" s="18"/>
      <c r="D29" s="18"/>
      <c r="E29" s="17"/>
      <c r="G29" s="17" t="s">
        <v>5</v>
      </c>
      <c r="H29" s="18" t="s">
        <v>1</v>
      </c>
      <c r="I29" s="18"/>
      <c r="J29" s="18"/>
      <c r="K29" s="17"/>
    </row>
    <row r="30" spans="1:11" x14ac:dyDescent="0.25">
      <c r="A30" s="17" t="s">
        <v>0</v>
      </c>
      <c r="B30" s="17">
        <v>1</v>
      </c>
      <c r="C30" s="17">
        <v>2</v>
      </c>
      <c r="D30" s="17">
        <v>3</v>
      </c>
      <c r="E30" s="17" t="s">
        <v>2</v>
      </c>
      <c r="G30" s="17" t="s">
        <v>0</v>
      </c>
      <c r="H30" s="17">
        <v>1</v>
      </c>
      <c r="I30" s="17">
        <v>2</v>
      </c>
      <c r="J30" s="17">
        <v>3</v>
      </c>
      <c r="K30" s="17" t="s">
        <v>2</v>
      </c>
    </row>
    <row r="31" spans="1:11" x14ac:dyDescent="0.25">
      <c r="A31" s="21">
        <v>1</v>
      </c>
      <c r="B31" s="24">
        <f>+MIN(B26,E21)</f>
        <v>0</v>
      </c>
      <c r="C31" s="24">
        <f>+MIN(E31,C36)</f>
        <v>40</v>
      </c>
      <c r="D31" s="24"/>
      <c r="E31" s="26">
        <v>40</v>
      </c>
      <c r="G31" s="21">
        <v>1</v>
      </c>
      <c r="H31" s="22">
        <v>90</v>
      </c>
      <c r="I31" s="22">
        <v>40</v>
      </c>
      <c r="J31" s="22"/>
      <c r="K31" s="23">
        <v>130</v>
      </c>
    </row>
    <row r="32" spans="1:11" x14ac:dyDescent="0.25">
      <c r="A32" s="21">
        <v>2</v>
      </c>
      <c r="B32" s="24"/>
      <c r="C32" s="24">
        <v>40</v>
      </c>
      <c r="D32" s="24"/>
      <c r="E32" s="26">
        <v>20</v>
      </c>
      <c r="G32" s="21">
        <v>2</v>
      </c>
      <c r="H32" s="22"/>
      <c r="I32" s="22">
        <v>40</v>
      </c>
      <c r="J32" s="23">
        <v>20</v>
      </c>
      <c r="K32" s="23">
        <v>60</v>
      </c>
    </row>
    <row r="33" spans="1:11" x14ac:dyDescent="0.25">
      <c r="A33" s="21">
        <v>3</v>
      </c>
      <c r="B33" s="24"/>
      <c r="C33" s="24"/>
      <c r="D33" s="24"/>
      <c r="E33" s="26">
        <v>28</v>
      </c>
      <c r="G33" s="21">
        <v>3</v>
      </c>
      <c r="H33" s="22"/>
      <c r="I33" s="22"/>
      <c r="J33" s="23">
        <v>28</v>
      </c>
      <c r="K33" s="23">
        <v>28</v>
      </c>
    </row>
    <row r="34" spans="1:11" x14ac:dyDescent="0.25">
      <c r="A34" s="21">
        <v>4</v>
      </c>
      <c r="B34" s="24"/>
      <c r="C34" s="24"/>
      <c r="D34" s="24"/>
      <c r="E34" s="26">
        <v>93</v>
      </c>
      <c r="G34" s="21">
        <v>4</v>
      </c>
      <c r="H34" s="22"/>
      <c r="I34" s="22"/>
      <c r="J34" s="23">
        <v>93</v>
      </c>
      <c r="K34" s="23">
        <v>93</v>
      </c>
    </row>
    <row r="35" spans="1:11" x14ac:dyDescent="0.25">
      <c r="A35" s="21" t="s">
        <v>7</v>
      </c>
      <c r="B35" s="24"/>
      <c r="C35" s="24"/>
      <c r="D35" s="24"/>
      <c r="E35" s="26">
        <v>9</v>
      </c>
      <c r="G35" s="21" t="s">
        <v>7</v>
      </c>
      <c r="H35" s="22"/>
      <c r="I35" s="22"/>
      <c r="J35" s="23">
        <v>9</v>
      </c>
      <c r="K35" s="23">
        <v>9</v>
      </c>
    </row>
    <row r="36" spans="1:11" x14ac:dyDescent="0.25">
      <c r="A36" s="17" t="s">
        <v>3</v>
      </c>
      <c r="B36" s="4">
        <v>90</v>
      </c>
      <c r="C36" s="4">
        <v>40</v>
      </c>
      <c r="D36" s="4">
        <v>150</v>
      </c>
      <c r="E36" s="4"/>
      <c r="G36" s="17" t="s">
        <v>3</v>
      </c>
      <c r="H36" s="17">
        <v>90</v>
      </c>
      <c r="I36" s="17">
        <v>80</v>
      </c>
      <c r="J36" s="17">
        <v>150</v>
      </c>
    </row>
    <row r="37" spans="1:11" x14ac:dyDescent="0.25">
      <c r="J37" s="23">
        <f>+J36-J35</f>
        <v>141</v>
      </c>
    </row>
    <row r="38" spans="1:11" x14ac:dyDescent="0.25">
      <c r="F38" t="s">
        <v>4</v>
      </c>
      <c r="G38">
        <f>+SUMPRODUCT(B3:D7,H31:J35)</f>
        <v>4689</v>
      </c>
    </row>
  </sheetData>
  <mergeCells count="7">
    <mergeCell ref="B1:D1"/>
    <mergeCell ref="B11:D11"/>
    <mergeCell ref="H11:J11"/>
    <mergeCell ref="B20:D20"/>
    <mergeCell ref="H20:J20"/>
    <mergeCell ref="B29:D29"/>
    <mergeCell ref="H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2460-CB78-43DC-A3C4-508E67695623}">
  <dimension ref="A1:K57"/>
  <sheetViews>
    <sheetView topLeftCell="A43" zoomScale="190" zoomScaleNormal="190" workbookViewId="0">
      <selection activeCell="B52" sqref="B52"/>
    </sheetView>
  </sheetViews>
  <sheetFormatPr baseColWidth="10" defaultRowHeight="15" x14ac:dyDescent="0.25"/>
  <sheetData>
    <row r="1" spans="1:11" x14ac:dyDescent="0.25">
      <c r="B1" s="2" t="s">
        <v>1</v>
      </c>
      <c r="C1" s="2"/>
      <c r="D1" s="2"/>
    </row>
    <row r="2" spans="1:11" x14ac:dyDescent="0.25">
      <c r="A2" s="17" t="s">
        <v>0</v>
      </c>
      <c r="B2" s="17">
        <v>1</v>
      </c>
      <c r="C2" s="17">
        <v>2</v>
      </c>
      <c r="D2" s="17">
        <v>3</v>
      </c>
      <c r="E2" s="17" t="s">
        <v>2</v>
      </c>
      <c r="F2" s="17"/>
      <c r="G2" s="17"/>
      <c r="H2" s="17"/>
      <c r="I2" s="17"/>
      <c r="J2" s="17"/>
      <c r="K2" s="17"/>
    </row>
    <row r="3" spans="1:11" x14ac:dyDescent="0.25">
      <c r="A3" s="17">
        <v>1</v>
      </c>
      <c r="B3" s="19">
        <v>10</v>
      </c>
      <c r="C3" s="19">
        <v>8</v>
      </c>
      <c r="D3" s="19">
        <v>4</v>
      </c>
      <c r="E3" s="17">
        <v>90</v>
      </c>
      <c r="F3" s="17"/>
      <c r="G3" s="17"/>
      <c r="H3" s="17"/>
      <c r="I3" s="17"/>
      <c r="J3" s="17"/>
      <c r="K3" s="17"/>
    </row>
    <row r="4" spans="1:11" x14ac:dyDescent="0.25">
      <c r="A4" s="17">
        <v>2</v>
      </c>
      <c r="B4" s="19">
        <v>9</v>
      </c>
      <c r="C4" s="19">
        <v>5</v>
      </c>
      <c r="D4" s="19">
        <v>7</v>
      </c>
      <c r="E4" s="17">
        <v>100</v>
      </c>
      <c r="F4" s="17"/>
      <c r="G4" s="17"/>
      <c r="H4" s="17"/>
      <c r="I4" s="17"/>
      <c r="J4" s="17"/>
      <c r="K4" s="17"/>
    </row>
    <row r="5" spans="1:11" x14ac:dyDescent="0.25">
      <c r="A5" s="17">
        <v>3</v>
      </c>
      <c r="B5" s="5">
        <v>3</v>
      </c>
      <c r="C5" s="19">
        <v>6</v>
      </c>
      <c r="D5" s="19">
        <v>9</v>
      </c>
      <c r="E5" s="17">
        <v>90</v>
      </c>
      <c r="F5" s="17"/>
      <c r="G5" s="17"/>
      <c r="H5" s="17"/>
      <c r="I5" s="17"/>
      <c r="J5" s="17"/>
      <c r="K5" s="17"/>
    </row>
    <row r="6" spans="1:11" x14ac:dyDescent="0.25">
      <c r="A6" s="17">
        <v>4</v>
      </c>
      <c r="B6" s="19">
        <v>5</v>
      </c>
      <c r="C6" s="19">
        <v>7</v>
      </c>
      <c r="D6" s="19">
        <v>6</v>
      </c>
      <c r="E6" s="17">
        <v>60</v>
      </c>
      <c r="F6" s="17"/>
      <c r="G6" s="17"/>
      <c r="H6" s="17"/>
      <c r="I6" s="17"/>
      <c r="J6" s="17"/>
      <c r="K6" s="17"/>
    </row>
    <row r="7" spans="1:11" x14ac:dyDescent="0.25">
      <c r="A7" s="17" t="s">
        <v>3</v>
      </c>
      <c r="B7" s="17">
        <v>180</v>
      </c>
      <c r="C7" s="17">
        <v>60</v>
      </c>
      <c r="D7" s="17">
        <v>100</v>
      </c>
      <c r="E7" s="17"/>
      <c r="F7" s="17"/>
      <c r="G7" s="17"/>
      <c r="H7" s="17"/>
      <c r="I7" s="17"/>
      <c r="J7" s="17"/>
      <c r="K7" s="17"/>
    </row>
    <row r="8" spans="1:1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x14ac:dyDescent="0.25">
      <c r="A9" s="17"/>
      <c r="B9" s="18" t="s">
        <v>1</v>
      </c>
      <c r="C9" s="18"/>
      <c r="D9" s="18"/>
      <c r="E9" s="17"/>
      <c r="F9" s="17"/>
      <c r="G9" s="17" t="s">
        <v>5</v>
      </c>
      <c r="H9" s="18" t="s">
        <v>1</v>
      </c>
      <c r="I9" s="18"/>
      <c r="J9" s="18"/>
      <c r="K9" s="17"/>
    </row>
    <row r="10" spans="1:11" x14ac:dyDescent="0.25">
      <c r="A10" s="17" t="s">
        <v>0</v>
      </c>
      <c r="B10" s="17">
        <v>1</v>
      </c>
      <c r="C10" s="17">
        <v>2</v>
      </c>
      <c r="D10" s="17">
        <v>3</v>
      </c>
      <c r="E10" s="17" t="s">
        <v>2</v>
      </c>
      <c r="F10" s="17"/>
      <c r="G10" s="17" t="s">
        <v>0</v>
      </c>
      <c r="H10" s="17">
        <v>1</v>
      </c>
      <c r="I10" s="17">
        <v>2</v>
      </c>
      <c r="J10" s="17">
        <v>3</v>
      </c>
      <c r="K10" s="17" t="s">
        <v>2</v>
      </c>
    </row>
    <row r="11" spans="1:11" x14ac:dyDescent="0.25">
      <c r="A11" s="17">
        <v>1</v>
      </c>
      <c r="B11" s="19">
        <v>10</v>
      </c>
      <c r="C11" s="19">
        <v>8</v>
      </c>
      <c r="D11" s="5">
        <v>4</v>
      </c>
      <c r="E11" s="17">
        <v>90</v>
      </c>
      <c r="F11" s="17"/>
      <c r="G11" s="17">
        <v>1</v>
      </c>
      <c r="H11" s="17"/>
      <c r="I11" s="17"/>
      <c r="J11" s="17"/>
      <c r="K11" s="17">
        <v>90</v>
      </c>
    </row>
    <row r="12" spans="1:11" x14ac:dyDescent="0.25">
      <c r="A12" s="17">
        <v>2</v>
      </c>
      <c r="B12" s="19">
        <v>9</v>
      </c>
      <c r="C12" s="19">
        <v>5</v>
      </c>
      <c r="D12" s="19">
        <v>7</v>
      </c>
      <c r="E12" s="17">
        <v>100</v>
      </c>
      <c r="F12" s="17"/>
      <c r="G12" s="17">
        <v>2</v>
      </c>
      <c r="H12" s="17"/>
      <c r="I12" s="17"/>
      <c r="J12" s="17"/>
      <c r="K12" s="17">
        <v>100</v>
      </c>
    </row>
    <row r="13" spans="1:11" x14ac:dyDescent="0.25">
      <c r="A13" s="17">
        <v>3</v>
      </c>
      <c r="B13" s="27">
        <v>3</v>
      </c>
      <c r="C13" s="27">
        <v>6</v>
      </c>
      <c r="D13" s="27">
        <v>9</v>
      </c>
      <c r="E13" s="4">
        <v>90</v>
      </c>
      <c r="F13" s="17"/>
      <c r="G13" s="17">
        <v>3</v>
      </c>
      <c r="H13" s="17">
        <v>90</v>
      </c>
      <c r="I13" s="17"/>
      <c r="J13" s="17"/>
      <c r="K13" s="17">
        <v>90</v>
      </c>
    </row>
    <row r="14" spans="1:11" x14ac:dyDescent="0.25">
      <c r="A14" s="17">
        <v>4</v>
      </c>
      <c r="B14" s="19">
        <v>5</v>
      </c>
      <c r="C14" s="19">
        <v>7</v>
      </c>
      <c r="D14" s="19">
        <v>6</v>
      </c>
      <c r="E14" s="17">
        <v>60</v>
      </c>
      <c r="F14" s="17"/>
      <c r="G14" s="17">
        <v>4</v>
      </c>
      <c r="H14" s="17"/>
      <c r="I14" s="17"/>
      <c r="J14" s="17"/>
      <c r="K14" s="17">
        <v>60</v>
      </c>
    </row>
    <row r="15" spans="1:11" x14ac:dyDescent="0.25">
      <c r="A15" s="17" t="s">
        <v>3</v>
      </c>
      <c r="B15" s="17">
        <v>90</v>
      </c>
      <c r="C15" s="17">
        <v>60</v>
      </c>
      <c r="D15" s="17">
        <v>100</v>
      </c>
      <c r="E15" s="17"/>
      <c r="F15" s="17"/>
      <c r="G15" s="17" t="s">
        <v>3</v>
      </c>
      <c r="H15" s="17">
        <v>180</v>
      </c>
      <c r="I15" s="17">
        <v>60</v>
      </c>
      <c r="J15" s="17">
        <v>100</v>
      </c>
      <c r="K15" s="17"/>
    </row>
    <row r="16" spans="1:1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 x14ac:dyDescent="0.25">
      <c r="A17" s="17"/>
      <c r="B17" s="18" t="s">
        <v>1</v>
      </c>
      <c r="C17" s="18"/>
      <c r="D17" s="18"/>
      <c r="E17" s="17"/>
      <c r="F17" s="17"/>
      <c r="G17" s="17" t="s">
        <v>5</v>
      </c>
      <c r="H17" s="18" t="s">
        <v>1</v>
      </c>
      <c r="I17" s="18"/>
      <c r="J17" s="18"/>
      <c r="K17" s="17" t="s">
        <v>2</v>
      </c>
    </row>
    <row r="18" spans="1:11" x14ac:dyDescent="0.25">
      <c r="A18" s="17" t="s">
        <v>0</v>
      </c>
      <c r="B18" s="17">
        <v>1</v>
      </c>
      <c r="C18" s="17">
        <v>2</v>
      </c>
      <c r="D18" s="17">
        <v>3</v>
      </c>
      <c r="E18" s="17" t="s">
        <v>2</v>
      </c>
      <c r="F18" s="17"/>
      <c r="G18" s="17" t="s">
        <v>0</v>
      </c>
      <c r="H18" s="17">
        <v>1</v>
      </c>
      <c r="I18" s="17">
        <v>2</v>
      </c>
      <c r="J18" s="17">
        <v>3</v>
      </c>
      <c r="K18" s="17"/>
    </row>
    <row r="19" spans="1:11" x14ac:dyDescent="0.25">
      <c r="A19" s="17">
        <v>1</v>
      </c>
      <c r="B19" s="27">
        <v>10</v>
      </c>
      <c r="C19" s="27">
        <v>8</v>
      </c>
      <c r="D19" s="27">
        <v>4</v>
      </c>
      <c r="E19" s="4">
        <v>90</v>
      </c>
      <c r="F19" s="17"/>
      <c r="G19" s="17">
        <v>1</v>
      </c>
      <c r="H19" s="17"/>
      <c r="I19" s="17"/>
      <c r="J19" s="17">
        <v>90</v>
      </c>
      <c r="K19" s="17">
        <v>90</v>
      </c>
    </row>
    <row r="20" spans="1:11" x14ac:dyDescent="0.25">
      <c r="A20" s="17">
        <v>2</v>
      </c>
      <c r="B20" s="19">
        <v>9</v>
      </c>
      <c r="C20" s="5">
        <v>5</v>
      </c>
      <c r="D20" s="19">
        <v>7</v>
      </c>
      <c r="E20" s="17">
        <v>100</v>
      </c>
      <c r="F20" s="17"/>
      <c r="G20" s="17">
        <v>2</v>
      </c>
      <c r="H20" s="17"/>
      <c r="I20" s="17"/>
      <c r="J20" s="17"/>
      <c r="K20" s="17">
        <v>100</v>
      </c>
    </row>
    <row r="21" spans="1:11" x14ac:dyDescent="0.25">
      <c r="A21" s="17">
        <v>3</v>
      </c>
      <c r="B21" s="27">
        <v>3</v>
      </c>
      <c r="C21" s="27">
        <v>6</v>
      </c>
      <c r="D21" s="27">
        <v>9</v>
      </c>
      <c r="E21" s="4">
        <v>90</v>
      </c>
      <c r="F21" s="17"/>
      <c r="G21" s="17">
        <v>3</v>
      </c>
      <c r="H21" s="17">
        <v>90</v>
      </c>
      <c r="I21" s="17"/>
      <c r="J21" s="17"/>
      <c r="K21" s="17">
        <v>90</v>
      </c>
    </row>
    <row r="22" spans="1:11" x14ac:dyDescent="0.25">
      <c r="A22" s="17">
        <v>4</v>
      </c>
      <c r="B22" s="19">
        <v>5</v>
      </c>
      <c r="C22" s="19">
        <v>7</v>
      </c>
      <c r="D22" s="19">
        <v>6</v>
      </c>
      <c r="E22" s="17">
        <v>60</v>
      </c>
      <c r="F22" s="17"/>
      <c r="G22" s="17">
        <v>4</v>
      </c>
      <c r="H22" s="17"/>
      <c r="I22" s="17"/>
      <c r="J22" s="17"/>
      <c r="K22" s="17">
        <v>60</v>
      </c>
    </row>
    <row r="23" spans="1:11" x14ac:dyDescent="0.25">
      <c r="A23" s="17" t="s">
        <v>3</v>
      </c>
      <c r="B23" s="17">
        <v>90</v>
      </c>
      <c r="C23" s="17">
        <v>60</v>
      </c>
      <c r="D23" s="17">
        <v>10</v>
      </c>
      <c r="E23" s="17"/>
      <c r="F23" s="17"/>
      <c r="G23" s="17" t="s">
        <v>3</v>
      </c>
      <c r="H23" s="17">
        <v>180</v>
      </c>
      <c r="I23" s="17">
        <v>60</v>
      </c>
      <c r="J23" s="17">
        <v>100</v>
      </c>
      <c r="K23" s="17"/>
    </row>
    <row r="24" spans="1:1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x14ac:dyDescent="0.25">
      <c r="A25" s="17"/>
      <c r="B25" s="18" t="s">
        <v>1</v>
      </c>
      <c r="C25" s="18"/>
      <c r="D25" s="18"/>
      <c r="E25" s="17"/>
      <c r="F25" s="17"/>
      <c r="G25" s="17" t="s">
        <v>5</v>
      </c>
      <c r="H25" s="18" t="s">
        <v>1</v>
      </c>
      <c r="I25" s="18"/>
      <c r="J25" s="18"/>
      <c r="K25" s="17" t="s">
        <v>2</v>
      </c>
    </row>
    <row r="26" spans="1:11" x14ac:dyDescent="0.25">
      <c r="A26" s="17" t="s">
        <v>0</v>
      </c>
      <c r="B26" s="17">
        <v>1</v>
      </c>
      <c r="C26" s="17">
        <v>2</v>
      </c>
      <c r="D26" s="17">
        <v>3</v>
      </c>
      <c r="E26" s="17" t="s">
        <v>2</v>
      </c>
      <c r="F26" s="17"/>
      <c r="G26" s="17" t="s">
        <v>0</v>
      </c>
      <c r="H26" s="17">
        <v>1</v>
      </c>
      <c r="I26" s="17">
        <v>2</v>
      </c>
      <c r="J26" s="17">
        <v>3</v>
      </c>
      <c r="K26" s="17"/>
    </row>
    <row r="27" spans="1:11" x14ac:dyDescent="0.25">
      <c r="A27" s="17">
        <v>1</v>
      </c>
      <c r="B27" s="27">
        <v>10</v>
      </c>
      <c r="C27" s="27">
        <v>8</v>
      </c>
      <c r="D27" s="27">
        <v>4</v>
      </c>
      <c r="E27" s="4">
        <v>90</v>
      </c>
      <c r="F27" s="17"/>
      <c r="G27" s="17">
        <v>1</v>
      </c>
      <c r="H27" s="17"/>
      <c r="I27" s="17"/>
      <c r="J27" s="17">
        <v>90</v>
      </c>
      <c r="K27" s="17">
        <v>90</v>
      </c>
    </row>
    <row r="28" spans="1:11" x14ac:dyDescent="0.25">
      <c r="A28" s="17">
        <v>2</v>
      </c>
      <c r="B28" s="19">
        <v>9</v>
      </c>
      <c r="C28" s="27">
        <v>5</v>
      </c>
      <c r="D28" s="19">
        <v>7</v>
      </c>
      <c r="E28" s="17">
        <v>40</v>
      </c>
      <c r="F28" s="17"/>
      <c r="G28" s="17">
        <v>2</v>
      </c>
      <c r="H28" s="17"/>
      <c r="I28" s="17">
        <v>60</v>
      </c>
      <c r="J28" s="17"/>
      <c r="K28" s="17">
        <v>100</v>
      </c>
    </row>
    <row r="29" spans="1:11" x14ac:dyDescent="0.25">
      <c r="A29" s="17">
        <v>3</v>
      </c>
      <c r="B29" s="27">
        <v>3</v>
      </c>
      <c r="C29" s="27">
        <v>6</v>
      </c>
      <c r="D29" s="27">
        <v>9</v>
      </c>
      <c r="E29" s="4">
        <v>90</v>
      </c>
      <c r="F29" s="17"/>
      <c r="G29" s="17">
        <v>3</v>
      </c>
      <c r="H29" s="17">
        <v>90</v>
      </c>
      <c r="I29" s="17"/>
      <c r="J29" s="17"/>
      <c r="K29" s="17">
        <v>90</v>
      </c>
    </row>
    <row r="30" spans="1:11" x14ac:dyDescent="0.25">
      <c r="A30" s="17">
        <v>4</v>
      </c>
      <c r="B30" s="5">
        <v>5</v>
      </c>
      <c r="C30" s="27">
        <v>7</v>
      </c>
      <c r="D30" s="19">
        <v>6</v>
      </c>
      <c r="E30" s="17">
        <v>60</v>
      </c>
      <c r="F30" s="17"/>
      <c r="G30" s="17">
        <v>4</v>
      </c>
      <c r="H30" s="17"/>
      <c r="I30" s="17"/>
      <c r="J30" s="17"/>
      <c r="K30" s="17">
        <v>60</v>
      </c>
    </row>
    <row r="31" spans="1:11" x14ac:dyDescent="0.25">
      <c r="A31" s="17" t="s">
        <v>3</v>
      </c>
      <c r="B31" s="17">
        <v>90</v>
      </c>
      <c r="C31" s="4">
        <v>60</v>
      </c>
      <c r="D31" s="17">
        <v>10</v>
      </c>
      <c r="E31" s="17"/>
      <c r="F31" s="17"/>
      <c r="G31" s="17" t="s">
        <v>3</v>
      </c>
      <c r="H31" s="17">
        <v>180</v>
      </c>
      <c r="I31" s="17">
        <v>60</v>
      </c>
      <c r="J31" s="17">
        <v>100</v>
      </c>
      <c r="K31" s="17"/>
    </row>
    <row r="32" spans="1:1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 x14ac:dyDescent="0.25">
      <c r="A33" s="17"/>
      <c r="B33" s="18" t="s">
        <v>1</v>
      </c>
      <c r="C33" s="18"/>
      <c r="D33" s="18"/>
      <c r="E33" s="17"/>
      <c r="F33" s="17"/>
      <c r="G33" s="17" t="s">
        <v>5</v>
      </c>
      <c r="H33" s="18" t="s">
        <v>1</v>
      </c>
      <c r="I33" s="18"/>
      <c r="J33" s="18"/>
      <c r="K33" s="17" t="s">
        <v>2</v>
      </c>
    </row>
    <row r="34" spans="1:11" x14ac:dyDescent="0.25">
      <c r="A34" s="17" t="s">
        <v>0</v>
      </c>
      <c r="B34" s="17">
        <v>1</v>
      </c>
      <c r="C34" s="17">
        <v>2</v>
      </c>
      <c r="D34" s="17">
        <v>3</v>
      </c>
      <c r="E34" s="17" t="s">
        <v>2</v>
      </c>
      <c r="F34" s="17"/>
      <c r="G34" s="17" t="s">
        <v>0</v>
      </c>
      <c r="H34" s="17">
        <v>1</v>
      </c>
      <c r="I34" s="17">
        <v>2</v>
      </c>
      <c r="J34" s="17">
        <v>3</v>
      </c>
      <c r="K34" s="17"/>
    </row>
    <row r="35" spans="1:11" x14ac:dyDescent="0.25">
      <c r="A35" s="17">
        <v>1</v>
      </c>
      <c r="B35" s="27">
        <v>10</v>
      </c>
      <c r="C35" s="27">
        <v>8</v>
      </c>
      <c r="D35" s="27">
        <v>4</v>
      </c>
      <c r="E35" s="4">
        <v>90</v>
      </c>
      <c r="F35" s="17"/>
      <c r="G35" s="17">
        <v>1</v>
      </c>
      <c r="H35" s="17"/>
      <c r="I35" s="17"/>
      <c r="J35" s="17">
        <v>90</v>
      </c>
      <c r="K35" s="17">
        <v>90</v>
      </c>
    </row>
    <row r="36" spans="1:11" x14ac:dyDescent="0.25">
      <c r="A36" s="17">
        <v>2</v>
      </c>
      <c r="B36" s="19">
        <v>9</v>
      </c>
      <c r="C36" s="27">
        <v>5</v>
      </c>
      <c r="D36" s="5">
        <v>7</v>
      </c>
      <c r="E36" s="17">
        <v>40</v>
      </c>
      <c r="F36" s="17"/>
      <c r="G36" s="17">
        <v>2</v>
      </c>
      <c r="H36" s="17"/>
      <c r="I36" s="17">
        <v>60</v>
      </c>
      <c r="J36" s="17"/>
      <c r="K36" s="17">
        <v>100</v>
      </c>
    </row>
    <row r="37" spans="1:11" x14ac:dyDescent="0.25">
      <c r="A37" s="17">
        <v>3</v>
      </c>
      <c r="B37" s="27">
        <v>3</v>
      </c>
      <c r="C37" s="27">
        <v>6</v>
      </c>
      <c r="D37" s="27">
        <v>9</v>
      </c>
      <c r="E37" s="4">
        <v>90</v>
      </c>
      <c r="F37" s="17"/>
      <c r="G37" s="17">
        <v>3</v>
      </c>
      <c r="H37" s="17">
        <v>90</v>
      </c>
      <c r="I37" s="17"/>
      <c r="J37" s="17"/>
      <c r="K37" s="17">
        <v>90</v>
      </c>
    </row>
    <row r="38" spans="1:11" x14ac:dyDescent="0.25">
      <c r="A38" s="17">
        <v>4</v>
      </c>
      <c r="B38" s="27">
        <v>5</v>
      </c>
      <c r="C38" s="27">
        <v>7</v>
      </c>
      <c r="D38" s="27">
        <v>6</v>
      </c>
      <c r="E38" s="4">
        <v>60</v>
      </c>
      <c r="F38" s="17"/>
      <c r="G38" s="17">
        <v>4</v>
      </c>
      <c r="H38" s="17">
        <v>60</v>
      </c>
      <c r="I38" s="17"/>
      <c r="J38" s="17"/>
      <c r="K38" s="17">
        <v>60</v>
      </c>
    </row>
    <row r="39" spans="1:11" x14ac:dyDescent="0.25">
      <c r="A39" s="17" t="s">
        <v>3</v>
      </c>
      <c r="B39" s="17">
        <v>30</v>
      </c>
      <c r="C39" s="4">
        <v>60</v>
      </c>
      <c r="D39" s="17">
        <v>10</v>
      </c>
      <c r="E39" s="17"/>
      <c r="F39" s="17"/>
      <c r="G39" s="17" t="s">
        <v>3</v>
      </c>
      <c r="H39" s="17">
        <v>180</v>
      </c>
      <c r="I39" s="17">
        <v>60</v>
      </c>
      <c r="J39" s="17">
        <v>100</v>
      </c>
      <c r="K39" s="17"/>
    </row>
    <row r="40" spans="1:1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1:11" x14ac:dyDescent="0.25">
      <c r="A41" s="17"/>
      <c r="B41" s="18" t="s">
        <v>1</v>
      </c>
      <c r="C41" s="18"/>
      <c r="D41" s="18"/>
      <c r="E41" s="17"/>
      <c r="F41" s="17"/>
      <c r="G41" s="17" t="s">
        <v>5</v>
      </c>
      <c r="H41" s="18" t="s">
        <v>1</v>
      </c>
      <c r="I41" s="18"/>
      <c r="J41" s="18"/>
      <c r="K41" s="17" t="s">
        <v>2</v>
      </c>
    </row>
    <row r="42" spans="1:11" x14ac:dyDescent="0.25">
      <c r="A42" s="17" t="s">
        <v>0</v>
      </c>
      <c r="B42" s="17">
        <v>1</v>
      </c>
      <c r="C42" s="17">
        <v>2</v>
      </c>
      <c r="D42" s="17">
        <v>3</v>
      </c>
      <c r="E42" s="17" t="s">
        <v>2</v>
      </c>
      <c r="F42" s="17"/>
      <c r="G42" s="17" t="s">
        <v>0</v>
      </c>
      <c r="H42" s="17">
        <v>1</v>
      </c>
      <c r="I42" s="17">
        <v>2</v>
      </c>
      <c r="J42" s="17">
        <v>3</v>
      </c>
      <c r="K42" s="17"/>
    </row>
    <row r="43" spans="1:11" x14ac:dyDescent="0.25">
      <c r="A43" s="17">
        <v>1</v>
      </c>
      <c r="B43" s="27">
        <v>10</v>
      </c>
      <c r="C43" s="27">
        <v>8</v>
      </c>
      <c r="D43" s="27">
        <v>4</v>
      </c>
      <c r="E43" s="4">
        <v>90</v>
      </c>
      <c r="F43" s="17"/>
      <c r="G43" s="17">
        <v>1</v>
      </c>
      <c r="H43" s="17"/>
      <c r="I43" s="17"/>
      <c r="J43" s="17">
        <v>90</v>
      </c>
      <c r="K43" s="17">
        <v>90</v>
      </c>
    </row>
    <row r="44" spans="1:11" x14ac:dyDescent="0.25">
      <c r="A44" s="17">
        <v>2</v>
      </c>
      <c r="B44" s="19">
        <v>9</v>
      </c>
      <c r="C44" s="27">
        <v>5</v>
      </c>
      <c r="D44" s="27">
        <v>7</v>
      </c>
      <c r="E44" s="17">
        <v>30</v>
      </c>
      <c r="F44" s="17"/>
      <c r="G44" s="17">
        <v>2</v>
      </c>
      <c r="H44" s="17"/>
      <c r="I44" s="17">
        <v>60</v>
      </c>
      <c r="J44" s="17">
        <v>10</v>
      </c>
      <c r="K44" s="17">
        <v>100</v>
      </c>
    </row>
    <row r="45" spans="1:11" x14ac:dyDescent="0.25">
      <c r="A45" s="17">
        <v>3</v>
      </c>
      <c r="B45" s="27">
        <v>3</v>
      </c>
      <c r="C45" s="27">
        <v>6</v>
      </c>
      <c r="D45" s="27">
        <v>9</v>
      </c>
      <c r="E45" s="4">
        <v>90</v>
      </c>
      <c r="F45" s="17"/>
      <c r="G45" s="17">
        <v>3</v>
      </c>
      <c r="H45" s="17">
        <v>90</v>
      </c>
      <c r="I45" s="17"/>
      <c r="J45" s="17"/>
      <c r="K45" s="17">
        <v>90</v>
      </c>
    </row>
    <row r="46" spans="1:11" x14ac:dyDescent="0.25">
      <c r="A46" s="17">
        <v>4</v>
      </c>
      <c r="B46" s="27">
        <v>5</v>
      </c>
      <c r="C46" s="27">
        <v>7</v>
      </c>
      <c r="D46" s="27">
        <v>6</v>
      </c>
      <c r="E46" s="4">
        <v>60</v>
      </c>
      <c r="F46" s="17"/>
      <c r="G46" s="17">
        <v>4</v>
      </c>
      <c r="H46" s="17">
        <v>60</v>
      </c>
      <c r="I46" s="17"/>
      <c r="J46" s="17"/>
      <c r="K46" s="17">
        <v>60</v>
      </c>
    </row>
    <row r="47" spans="1:11" x14ac:dyDescent="0.25">
      <c r="A47" s="17" t="s">
        <v>3</v>
      </c>
      <c r="B47" s="17">
        <v>30</v>
      </c>
      <c r="C47" s="4">
        <v>60</v>
      </c>
      <c r="D47" s="4">
        <v>10</v>
      </c>
      <c r="E47" s="17"/>
      <c r="F47" s="17"/>
      <c r="G47" s="17" t="s">
        <v>3</v>
      </c>
      <c r="H47" s="17">
        <v>180</v>
      </c>
      <c r="I47" s="17">
        <v>60</v>
      </c>
      <c r="J47" s="17">
        <v>100</v>
      </c>
      <c r="K47" s="17"/>
    </row>
    <row r="49" spans="1:11" x14ac:dyDescent="0.25">
      <c r="A49" s="17"/>
      <c r="B49" s="18" t="s">
        <v>1</v>
      </c>
      <c r="C49" s="18"/>
      <c r="D49" s="18"/>
      <c r="E49" s="17"/>
      <c r="F49" s="17"/>
      <c r="G49" s="17" t="s">
        <v>5</v>
      </c>
      <c r="H49" s="18" t="s">
        <v>1</v>
      </c>
      <c r="I49" s="18"/>
      <c r="J49" s="18"/>
      <c r="K49" s="17" t="s">
        <v>2</v>
      </c>
    </row>
    <row r="50" spans="1:11" x14ac:dyDescent="0.25">
      <c r="A50" s="17" t="s">
        <v>0</v>
      </c>
      <c r="B50" s="17">
        <v>1</v>
      </c>
      <c r="C50" s="17">
        <v>2</v>
      </c>
      <c r="D50" s="17">
        <v>3</v>
      </c>
      <c r="E50" s="17" t="s">
        <v>2</v>
      </c>
      <c r="F50" s="17"/>
      <c r="G50" s="17" t="s">
        <v>0</v>
      </c>
      <c r="H50" s="17">
        <v>1</v>
      </c>
      <c r="I50" s="17">
        <v>2</v>
      </c>
      <c r="J50" s="17">
        <v>3</v>
      </c>
      <c r="K50" s="17"/>
    </row>
    <row r="51" spans="1:11" x14ac:dyDescent="0.25">
      <c r="A51" s="17">
        <v>1</v>
      </c>
      <c r="B51" s="27">
        <v>10</v>
      </c>
      <c r="C51" s="27">
        <v>8</v>
      </c>
      <c r="D51" s="27">
        <v>4</v>
      </c>
      <c r="E51" s="4">
        <v>90</v>
      </c>
      <c r="F51" s="17"/>
      <c r="G51" s="17">
        <v>1</v>
      </c>
      <c r="H51" s="17"/>
      <c r="I51" s="17"/>
      <c r="J51" s="17">
        <v>90</v>
      </c>
      <c r="K51" s="17">
        <v>90</v>
      </c>
    </row>
    <row r="52" spans="1:11" x14ac:dyDescent="0.25">
      <c r="A52" s="17">
        <v>2</v>
      </c>
      <c r="B52" s="19">
        <v>9</v>
      </c>
      <c r="C52" s="27">
        <v>5</v>
      </c>
      <c r="D52" s="27">
        <v>7</v>
      </c>
      <c r="E52" s="17">
        <v>30</v>
      </c>
      <c r="F52" s="17"/>
      <c r="G52" s="17">
        <v>2</v>
      </c>
      <c r="H52" s="17">
        <v>30</v>
      </c>
      <c r="I52" s="17">
        <v>60</v>
      </c>
      <c r="J52" s="17">
        <v>10</v>
      </c>
      <c r="K52" s="17">
        <v>100</v>
      </c>
    </row>
    <row r="53" spans="1:11" x14ac:dyDescent="0.25">
      <c r="A53" s="17">
        <v>3</v>
      </c>
      <c r="B53" s="27">
        <v>3</v>
      </c>
      <c r="C53" s="27">
        <v>6</v>
      </c>
      <c r="D53" s="27">
        <v>9</v>
      </c>
      <c r="E53" s="4">
        <v>90</v>
      </c>
      <c r="F53" s="17"/>
      <c r="G53" s="17">
        <v>3</v>
      </c>
      <c r="H53" s="17">
        <v>90</v>
      </c>
      <c r="I53" s="17"/>
      <c r="J53" s="17"/>
      <c r="K53" s="17">
        <v>90</v>
      </c>
    </row>
    <row r="54" spans="1:11" x14ac:dyDescent="0.25">
      <c r="A54" s="17">
        <v>4</v>
      </c>
      <c r="B54" s="27">
        <v>5</v>
      </c>
      <c r="C54" s="27">
        <v>7</v>
      </c>
      <c r="D54" s="27">
        <v>6</v>
      </c>
      <c r="E54" s="4">
        <v>60</v>
      </c>
      <c r="F54" s="17"/>
      <c r="G54" s="17">
        <v>4</v>
      </c>
      <c r="H54" s="17">
        <v>60</v>
      </c>
      <c r="I54" s="17"/>
      <c r="J54" s="17"/>
      <c r="K54" s="17">
        <v>60</v>
      </c>
    </row>
    <row r="55" spans="1:11" x14ac:dyDescent="0.25">
      <c r="A55" s="17" t="s">
        <v>3</v>
      </c>
      <c r="B55" s="17">
        <v>30</v>
      </c>
      <c r="C55" s="4">
        <v>60</v>
      </c>
      <c r="D55" s="4">
        <v>10</v>
      </c>
      <c r="E55" s="17"/>
      <c r="F55" s="17"/>
      <c r="G55" s="17" t="s">
        <v>3</v>
      </c>
      <c r="H55" s="17">
        <v>180</v>
      </c>
      <c r="I55" s="17">
        <v>60</v>
      </c>
      <c r="J55" s="17">
        <v>100</v>
      </c>
      <c r="K55" s="17"/>
    </row>
    <row r="56" spans="1:11" x14ac:dyDescent="0.25">
      <c r="C56" s="17"/>
      <c r="D56" s="19"/>
      <c r="E56" s="19"/>
      <c r="F56" s="19"/>
    </row>
    <row r="57" spans="1:11" x14ac:dyDescent="0.25">
      <c r="C57" s="17"/>
      <c r="D57" s="17"/>
      <c r="E57" s="17"/>
      <c r="F57" s="17" t="s">
        <v>8</v>
      </c>
      <c r="G57">
        <f>+SUMPRODUCT(B3:D6,H51:J54)</f>
        <v>1570</v>
      </c>
    </row>
  </sheetData>
  <mergeCells count="13">
    <mergeCell ref="B33:D33"/>
    <mergeCell ref="H33:J33"/>
    <mergeCell ref="B41:D41"/>
    <mergeCell ref="H41:J41"/>
    <mergeCell ref="B49:D49"/>
    <mergeCell ref="H49:J49"/>
    <mergeCell ref="B1:D1"/>
    <mergeCell ref="B9:D9"/>
    <mergeCell ref="H9:J9"/>
    <mergeCell ref="B17:D17"/>
    <mergeCell ref="H17:J17"/>
    <mergeCell ref="B25:D25"/>
    <mergeCell ref="H25:J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9F42-F7AA-452A-9044-F1B91D04304F}">
  <dimension ref="A1:K46"/>
  <sheetViews>
    <sheetView tabSelected="1" topLeftCell="A31" zoomScale="200" zoomScaleNormal="200" workbookViewId="0">
      <selection activeCell="F46" sqref="F46"/>
    </sheetView>
  </sheetViews>
  <sheetFormatPr baseColWidth="10" defaultRowHeight="15" x14ac:dyDescent="0.25"/>
  <sheetData>
    <row r="1" spans="1:11" x14ac:dyDescent="0.25">
      <c r="A1" s="17"/>
      <c r="B1" s="18" t="s">
        <v>1</v>
      </c>
      <c r="C1" s="18"/>
      <c r="D1" s="18"/>
      <c r="E1" s="17"/>
    </row>
    <row r="2" spans="1:11" x14ac:dyDescent="0.25">
      <c r="A2" s="17" t="s">
        <v>0</v>
      </c>
      <c r="B2" s="17">
        <v>1</v>
      </c>
      <c r="C2" s="17">
        <v>2</v>
      </c>
      <c r="D2" s="17">
        <v>3</v>
      </c>
      <c r="E2" s="17" t="s">
        <v>2</v>
      </c>
    </row>
    <row r="3" spans="1:11" x14ac:dyDescent="0.25">
      <c r="A3" s="17">
        <v>1</v>
      </c>
      <c r="B3" s="19">
        <v>19</v>
      </c>
      <c r="C3" s="19">
        <v>16</v>
      </c>
      <c r="D3" s="19">
        <v>11</v>
      </c>
      <c r="E3" s="20">
        <v>130</v>
      </c>
    </row>
    <row r="4" spans="1:11" x14ac:dyDescent="0.25">
      <c r="A4" s="17">
        <v>2</v>
      </c>
      <c r="B4" s="19">
        <v>11</v>
      </c>
      <c r="C4" s="19">
        <v>8</v>
      </c>
      <c r="D4" s="19">
        <v>6</v>
      </c>
      <c r="E4" s="20">
        <v>60</v>
      </c>
    </row>
    <row r="5" spans="1:11" x14ac:dyDescent="0.25">
      <c r="A5" s="17">
        <v>3</v>
      </c>
      <c r="B5" s="19">
        <v>13</v>
      </c>
      <c r="C5" s="19">
        <v>9</v>
      </c>
      <c r="D5" s="19">
        <v>18</v>
      </c>
      <c r="E5" s="20">
        <v>28</v>
      </c>
    </row>
    <row r="6" spans="1:11" x14ac:dyDescent="0.25">
      <c r="A6" s="17">
        <v>4</v>
      </c>
      <c r="B6" s="19">
        <v>17</v>
      </c>
      <c r="C6" s="5">
        <v>5</v>
      </c>
      <c r="D6" s="19">
        <v>15</v>
      </c>
      <c r="E6" s="20">
        <v>93</v>
      </c>
    </row>
    <row r="7" spans="1:11" x14ac:dyDescent="0.25">
      <c r="A7" s="17" t="s">
        <v>7</v>
      </c>
      <c r="B7" s="19">
        <v>50</v>
      </c>
      <c r="C7" s="19">
        <v>50</v>
      </c>
      <c r="D7" s="19">
        <v>50</v>
      </c>
      <c r="E7" s="20">
        <v>9</v>
      </c>
    </row>
    <row r="8" spans="1:11" x14ac:dyDescent="0.25">
      <c r="A8" s="17" t="s">
        <v>3</v>
      </c>
      <c r="B8" s="17">
        <v>90</v>
      </c>
      <c r="C8" s="17">
        <v>80</v>
      </c>
      <c r="D8" s="17">
        <v>150</v>
      </c>
    </row>
    <row r="9" spans="1:11" x14ac:dyDescent="0.25">
      <c r="C9" s="17"/>
    </row>
    <row r="10" spans="1:11" x14ac:dyDescent="0.25">
      <c r="A10" s="17"/>
      <c r="B10" s="18" t="s">
        <v>1</v>
      </c>
      <c r="C10" s="18"/>
      <c r="D10" s="18"/>
      <c r="E10" s="17"/>
      <c r="G10" s="17"/>
      <c r="H10" s="18" t="s">
        <v>1</v>
      </c>
      <c r="I10" s="18"/>
      <c r="J10" s="18"/>
      <c r="K10" s="17"/>
    </row>
    <row r="11" spans="1:11" x14ac:dyDescent="0.25">
      <c r="A11" s="17" t="s">
        <v>0</v>
      </c>
      <c r="B11" s="17">
        <v>1</v>
      </c>
      <c r="C11" s="4">
        <v>2</v>
      </c>
      <c r="D11" s="17">
        <v>3</v>
      </c>
      <c r="E11" s="17" t="s">
        <v>2</v>
      </c>
      <c r="G11" s="17" t="s">
        <v>0</v>
      </c>
      <c r="H11" s="17">
        <v>1</v>
      </c>
      <c r="I11" s="17">
        <v>2</v>
      </c>
      <c r="J11" s="17">
        <v>3</v>
      </c>
      <c r="K11" s="17" t="s">
        <v>2</v>
      </c>
    </row>
    <row r="12" spans="1:11" x14ac:dyDescent="0.25">
      <c r="A12" s="17">
        <v>1</v>
      </c>
      <c r="B12" s="19">
        <v>19</v>
      </c>
      <c r="C12" s="27">
        <v>16</v>
      </c>
      <c r="D12" s="19">
        <v>11</v>
      </c>
      <c r="E12" s="20">
        <v>130</v>
      </c>
      <c r="G12" s="17">
        <v>1</v>
      </c>
      <c r="H12" s="20"/>
      <c r="I12" s="20"/>
      <c r="J12" s="20"/>
      <c r="K12" s="20">
        <v>130</v>
      </c>
    </row>
    <row r="13" spans="1:11" x14ac:dyDescent="0.25">
      <c r="A13" s="17">
        <v>2</v>
      </c>
      <c r="B13" s="19">
        <v>11</v>
      </c>
      <c r="C13" s="27">
        <v>8</v>
      </c>
      <c r="D13" s="5">
        <v>6</v>
      </c>
      <c r="E13" s="20">
        <v>60</v>
      </c>
      <c r="G13" s="17">
        <v>2</v>
      </c>
      <c r="H13" s="20"/>
      <c r="I13" s="20"/>
      <c r="J13" s="20"/>
      <c r="K13" s="20">
        <v>60</v>
      </c>
    </row>
    <row r="14" spans="1:11" x14ac:dyDescent="0.25">
      <c r="A14" s="17">
        <v>3</v>
      </c>
      <c r="B14" s="19">
        <v>13</v>
      </c>
      <c r="C14" s="27">
        <v>9</v>
      </c>
      <c r="D14" s="19">
        <v>18</v>
      </c>
      <c r="E14" s="20">
        <v>28</v>
      </c>
      <c r="G14" s="17">
        <v>3</v>
      </c>
      <c r="H14" s="20"/>
      <c r="I14" s="20"/>
      <c r="J14" s="20"/>
      <c r="K14" s="20">
        <v>28</v>
      </c>
    </row>
    <row r="15" spans="1:11" x14ac:dyDescent="0.25">
      <c r="A15" s="17">
        <v>4</v>
      </c>
      <c r="B15" s="19">
        <v>17</v>
      </c>
      <c r="C15" s="27">
        <v>5</v>
      </c>
      <c r="D15" s="19">
        <v>15</v>
      </c>
      <c r="E15" s="20">
        <v>13</v>
      </c>
      <c r="G15" s="17">
        <v>4</v>
      </c>
      <c r="H15" s="20"/>
      <c r="I15" s="20">
        <v>80</v>
      </c>
      <c r="J15" s="20"/>
      <c r="K15" s="20">
        <v>93</v>
      </c>
    </row>
    <row r="16" spans="1:11" x14ac:dyDescent="0.25">
      <c r="A16" s="17" t="s">
        <v>7</v>
      </c>
      <c r="B16" s="19">
        <v>50</v>
      </c>
      <c r="C16" s="27">
        <v>50</v>
      </c>
      <c r="D16" s="19">
        <v>50</v>
      </c>
      <c r="E16" s="20">
        <v>9</v>
      </c>
      <c r="G16" s="17" t="s">
        <v>7</v>
      </c>
      <c r="H16" s="20"/>
      <c r="I16" s="20"/>
      <c r="J16" s="20"/>
      <c r="K16" s="20">
        <v>9</v>
      </c>
    </row>
    <row r="17" spans="1:11" x14ac:dyDescent="0.25">
      <c r="A17" s="17" t="s">
        <v>3</v>
      </c>
      <c r="B17" s="17">
        <v>90</v>
      </c>
      <c r="C17" s="4">
        <v>80</v>
      </c>
      <c r="D17" s="17">
        <v>150</v>
      </c>
      <c r="G17" s="17" t="s">
        <v>3</v>
      </c>
      <c r="H17" s="17">
        <v>90</v>
      </c>
      <c r="I17" s="17">
        <v>80</v>
      </c>
      <c r="J17" s="17">
        <v>150</v>
      </c>
    </row>
    <row r="19" spans="1:11" x14ac:dyDescent="0.25">
      <c r="A19" s="17"/>
      <c r="B19" s="18" t="s">
        <v>1</v>
      </c>
      <c r="C19" s="18"/>
      <c r="D19" s="18"/>
      <c r="E19" s="17"/>
      <c r="G19" s="17"/>
      <c r="H19" s="18" t="s">
        <v>1</v>
      </c>
      <c r="I19" s="18"/>
      <c r="J19" s="18"/>
      <c r="K19" s="17"/>
    </row>
    <row r="20" spans="1:11" x14ac:dyDescent="0.25">
      <c r="A20" s="17" t="s">
        <v>0</v>
      </c>
      <c r="B20" s="17">
        <v>1</v>
      </c>
      <c r="C20" s="4">
        <v>2</v>
      </c>
      <c r="D20" s="17">
        <v>3</v>
      </c>
      <c r="E20" s="17" t="s">
        <v>2</v>
      </c>
      <c r="G20" s="17" t="s">
        <v>0</v>
      </c>
      <c r="H20" s="17">
        <v>1</v>
      </c>
      <c r="I20" s="17">
        <v>2</v>
      </c>
      <c r="J20" s="17">
        <v>3</v>
      </c>
      <c r="K20" s="17" t="s">
        <v>2</v>
      </c>
    </row>
    <row r="21" spans="1:11" x14ac:dyDescent="0.25">
      <c r="A21" s="17">
        <v>1</v>
      </c>
      <c r="B21" s="19">
        <v>19</v>
      </c>
      <c r="C21" s="27">
        <v>16</v>
      </c>
      <c r="D21" s="5">
        <v>11</v>
      </c>
      <c r="E21" s="20">
        <v>130</v>
      </c>
      <c r="G21" s="17">
        <v>1</v>
      </c>
      <c r="H21" s="20"/>
      <c r="I21" s="20"/>
      <c r="J21" s="20"/>
      <c r="K21" s="20">
        <v>130</v>
      </c>
    </row>
    <row r="22" spans="1:11" x14ac:dyDescent="0.25">
      <c r="A22" s="4">
        <v>2</v>
      </c>
      <c r="B22" s="27">
        <v>11</v>
      </c>
      <c r="C22" s="27">
        <v>8</v>
      </c>
      <c r="D22" s="27">
        <v>6</v>
      </c>
      <c r="E22" s="28">
        <v>60</v>
      </c>
      <c r="G22" s="17">
        <v>2</v>
      </c>
      <c r="H22" s="20"/>
      <c r="I22" s="20"/>
      <c r="J22" s="20">
        <v>60</v>
      </c>
      <c r="K22" s="20">
        <v>60</v>
      </c>
    </row>
    <row r="23" spans="1:11" x14ac:dyDescent="0.25">
      <c r="A23" s="17">
        <v>3</v>
      </c>
      <c r="B23" s="19">
        <v>13</v>
      </c>
      <c r="C23" s="27">
        <v>9</v>
      </c>
      <c r="D23" s="19">
        <v>18</v>
      </c>
      <c r="E23" s="20">
        <v>28</v>
      </c>
      <c r="G23" s="17">
        <v>3</v>
      </c>
      <c r="H23" s="20"/>
      <c r="I23" s="20"/>
      <c r="J23" s="20"/>
      <c r="K23" s="20">
        <v>28</v>
      </c>
    </row>
    <row r="24" spans="1:11" x14ac:dyDescent="0.25">
      <c r="A24" s="17">
        <v>4</v>
      </c>
      <c r="B24" s="19">
        <v>17</v>
      </c>
      <c r="C24" s="27">
        <v>5</v>
      </c>
      <c r="D24" s="19">
        <v>15</v>
      </c>
      <c r="E24" s="20">
        <v>13</v>
      </c>
      <c r="G24" s="17">
        <v>4</v>
      </c>
      <c r="H24" s="20"/>
      <c r="I24" s="20">
        <v>80</v>
      </c>
      <c r="J24" s="20"/>
      <c r="K24" s="20">
        <v>93</v>
      </c>
    </row>
    <row r="25" spans="1:11" x14ac:dyDescent="0.25">
      <c r="A25" s="17" t="s">
        <v>7</v>
      </c>
      <c r="B25" s="19">
        <v>50</v>
      </c>
      <c r="C25" s="27">
        <v>50</v>
      </c>
      <c r="D25" s="19">
        <v>50</v>
      </c>
      <c r="E25" s="20">
        <v>9</v>
      </c>
      <c r="G25" s="17" t="s">
        <v>7</v>
      </c>
      <c r="H25" s="20"/>
      <c r="I25" s="20"/>
      <c r="J25" s="20"/>
      <c r="K25" s="20">
        <v>9</v>
      </c>
    </row>
    <row r="26" spans="1:11" x14ac:dyDescent="0.25">
      <c r="A26" s="17" t="s">
        <v>3</v>
      </c>
      <c r="B26" s="17">
        <v>90</v>
      </c>
      <c r="C26" s="4">
        <v>80</v>
      </c>
      <c r="D26" s="17">
        <v>90</v>
      </c>
      <c r="G26" s="17" t="s">
        <v>3</v>
      </c>
      <c r="H26" s="17">
        <v>90</v>
      </c>
      <c r="I26" s="17">
        <v>80</v>
      </c>
      <c r="J26" s="17">
        <v>150</v>
      </c>
    </row>
    <row r="28" spans="1:11" x14ac:dyDescent="0.25">
      <c r="A28" s="17"/>
      <c r="B28" s="18" t="s">
        <v>1</v>
      </c>
      <c r="C28" s="18"/>
      <c r="D28" s="18"/>
      <c r="E28" s="17"/>
      <c r="G28" s="17"/>
      <c r="H28" s="18" t="s">
        <v>1</v>
      </c>
      <c r="I28" s="18"/>
      <c r="J28" s="18"/>
      <c r="K28" s="17"/>
    </row>
    <row r="29" spans="1:11" x14ac:dyDescent="0.25">
      <c r="A29" s="17" t="s">
        <v>0</v>
      </c>
      <c r="B29" s="17">
        <v>1</v>
      </c>
      <c r="C29" s="4">
        <v>2</v>
      </c>
      <c r="D29" s="6">
        <v>3</v>
      </c>
      <c r="E29" s="17" t="s">
        <v>2</v>
      </c>
      <c r="G29" s="17" t="s">
        <v>0</v>
      </c>
      <c r="H29" s="17">
        <v>1</v>
      </c>
      <c r="I29" s="17">
        <v>2</v>
      </c>
      <c r="J29" s="17">
        <v>3</v>
      </c>
      <c r="K29" s="17" t="s">
        <v>2</v>
      </c>
    </row>
    <row r="30" spans="1:11" x14ac:dyDescent="0.25">
      <c r="A30" s="17">
        <v>1</v>
      </c>
      <c r="B30" s="19">
        <v>19</v>
      </c>
      <c r="C30" s="27">
        <v>16</v>
      </c>
      <c r="D30" s="27">
        <v>11</v>
      </c>
      <c r="E30" s="20">
        <v>40</v>
      </c>
      <c r="G30" s="17">
        <v>1</v>
      </c>
      <c r="H30" s="20"/>
      <c r="I30" s="20"/>
      <c r="J30" s="20">
        <v>90</v>
      </c>
      <c r="K30" s="20">
        <v>130</v>
      </c>
    </row>
    <row r="31" spans="1:11" x14ac:dyDescent="0.25">
      <c r="A31" s="4">
        <v>2</v>
      </c>
      <c r="B31" s="27">
        <v>11</v>
      </c>
      <c r="C31" s="27">
        <v>8</v>
      </c>
      <c r="D31" s="27">
        <v>6</v>
      </c>
      <c r="E31" s="28">
        <v>60</v>
      </c>
      <c r="G31" s="17">
        <v>2</v>
      </c>
      <c r="H31" s="20"/>
      <c r="I31" s="20"/>
      <c r="J31" s="20">
        <v>60</v>
      </c>
      <c r="K31" s="20">
        <v>60</v>
      </c>
    </row>
    <row r="32" spans="1:11" x14ac:dyDescent="0.25">
      <c r="A32" s="17">
        <v>3</v>
      </c>
      <c r="B32" s="19">
        <v>13</v>
      </c>
      <c r="C32" s="27">
        <v>9</v>
      </c>
      <c r="D32" s="27">
        <v>18</v>
      </c>
      <c r="E32" s="20">
        <v>28</v>
      </c>
      <c r="G32" s="17">
        <v>3</v>
      </c>
      <c r="H32" s="20"/>
      <c r="I32" s="20"/>
      <c r="J32" s="20"/>
      <c r="K32" s="20">
        <v>28</v>
      </c>
    </row>
    <row r="33" spans="1:11" x14ac:dyDescent="0.25">
      <c r="A33" s="17">
        <v>4</v>
      </c>
      <c r="B33" s="19">
        <v>17</v>
      </c>
      <c r="C33" s="27">
        <v>5</v>
      </c>
      <c r="D33" s="27">
        <v>15</v>
      </c>
      <c r="E33" s="20">
        <v>13</v>
      </c>
      <c r="G33" s="17">
        <v>4</v>
      </c>
      <c r="H33" s="20"/>
      <c r="I33" s="20">
        <v>80</v>
      </c>
      <c r="J33" s="20"/>
      <c r="K33" s="20">
        <v>93</v>
      </c>
    </row>
    <row r="34" spans="1:11" x14ac:dyDescent="0.25">
      <c r="A34" s="17" t="s">
        <v>7</v>
      </c>
      <c r="B34" s="19">
        <v>50</v>
      </c>
      <c r="C34" s="27">
        <v>50</v>
      </c>
      <c r="D34" s="27">
        <v>50</v>
      </c>
      <c r="E34" s="20">
        <v>9</v>
      </c>
      <c r="G34" s="17" t="s">
        <v>7</v>
      </c>
      <c r="H34" s="20"/>
      <c r="I34" s="20"/>
      <c r="J34" s="20"/>
      <c r="K34" s="20">
        <v>9</v>
      </c>
    </row>
    <row r="35" spans="1:11" x14ac:dyDescent="0.25">
      <c r="A35" s="17" t="s">
        <v>3</v>
      </c>
      <c r="B35" s="17">
        <v>90</v>
      </c>
      <c r="C35" s="4">
        <v>80</v>
      </c>
      <c r="D35" s="6">
        <v>90</v>
      </c>
      <c r="G35" s="17" t="s">
        <v>3</v>
      </c>
      <c r="H35" s="17">
        <v>90</v>
      </c>
      <c r="I35" s="17">
        <v>80</v>
      </c>
      <c r="J35" s="17">
        <v>150</v>
      </c>
    </row>
    <row r="37" spans="1:11" x14ac:dyDescent="0.25">
      <c r="A37" s="17"/>
      <c r="B37" s="18" t="s">
        <v>1</v>
      </c>
      <c r="C37" s="18"/>
      <c r="D37" s="18"/>
      <c r="E37" s="17"/>
      <c r="G37" s="17"/>
      <c r="H37" s="18" t="s">
        <v>1</v>
      </c>
      <c r="I37" s="18"/>
      <c r="J37" s="18"/>
      <c r="K37" s="17"/>
    </row>
    <row r="38" spans="1:11" x14ac:dyDescent="0.25">
      <c r="A38" s="17" t="s">
        <v>0</v>
      </c>
      <c r="B38" s="17">
        <v>1</v>
      </c>
      <c r="C38" s="4">
        <v>2</v>
      </c>
      <c r="D38" s="6">
        <v>3</v>
      </c>
      <c r="E38" s="17" t="s">
        <v>2</v>
      </c>
      <c r="G38" s="17" t="s">
        <v>0</v>
      </c>
      <c r="H38" s="17">
        <v>1</v>
      </c>
      <c r="I38" s="17">
        <v>2</v>
      </c>
      <c r="J38" s="17">
        <v>3</v>
      </c>
      <c r="K38" s="17" t="s">
        <v>2</v>
      </c>
    </row>
    <row r="39" spans="1:11" x14ac:dyDescent="0.25">
      <c r="A39" s="17">
        <v>1</v>
      </c>
      <c r="B39" s="19">
        <v>19</v>
      </c>
      <c r="C39" s="27">
        <v>16</v>
      </c>
      <c r="D39" s="27">
        <v>11</v>
      </c>
      <c r="E39" s="20">
        <v>40</v>
      </c>
      <c r="G39" s="17">
        <v>1</v>
      </c>
      <c r="H39" s="20">
        <v>40</v>
      </c>
      <c r="I39" s="20"/>
      <c r="J39" s="20">
        <v>90</v>
      </c>
      <c r="K39" s="20">
        <v>130</v>
      </c>
    </row>
    <row r="40" spans="1:11" x14ac:dyDescent="0.25">
      <c r="A40" s="4">
        <v>2</v>
      </c>
      <c r="B40" s="27">
        <v>11</v>
      </c>
      <c r="C40" s="27">
        <v>8</v>
      </c>
      <c r="D40" s="27">
        <v>6</v>
      </c>
      <c r="E40" s="28">
        <v>60</v>
      </c>
      <c r="G40" s="17">
        <v>2</v>
      </c>
      <c r="H40" s="20"/>
      <c r="I40" s="20"/>
      <c r="J40" s="20">
        <v>60</v>
      </c>
      <c r="K40" s="20">
        <v>60</v>
      </c>
    </row>
    <row r="41" spans="1:11" x14ac:dyDescent="0.25">
      <c r="A41" s="17">
        <v>3</v>
      </c>
      <c r="B41" s="19">
        <v>13</v>
      </c>
      <c r="C41" s="27">
        <v>9</v>
      </c>
      <c r="D41" s="27">
        <v>18</v>
      </c>
      <c r="E41" s="20">
        <v>28</v>
      </c>
      <c r="G41" s="17">
        <v>3</v>
      </c>
      <c r="H41" s="20">
        <v>28</v>
      </c>
      <c r="I41" s="20"/>
      <c r="J41" s="20"/>
      <c r="K41" s="20">
        <v>28</v>
      </c>
    </row>
    <row r="42" spans="1:11" x14ac:dyDescent="0.25">
      <c r="A42" s="17">
        <v>4</v>
      </c>
      <c r="B42" s="19">
        <v>17</v>
      </c>
      <c r="C42" s="27">
        <v>5</v>
      </c>
      <c r="D42" s="27">
        <v>15</v>
      </c>
      <c r="E42" s="20">
        <v>13</v>
      </c>
      <c r="G42" s="17">
        <v>4</v>
      </c>
      <c r="H42" s="20">
        <v>13</v>
      </c>
      <c r="I42" s="20">
        <v>80</v>
      </c>
      <c r="J42" s="20"/>
      <c r="K42" s="20">
        <v>93</v>
      </c>
    </row>
    <row r="43" spans="1:11" x14ac:dyDescent="0.25">
      <c r="A43" s="17" t="s">
        <v>7</v>
      </c>
      <c r="B43" s="19">
        <v>50</v>
      </c>
      <c r="C43" s="27">
        <v>50</v>
      </c>
      <c r="D43" s="27">
        <v>50</v>
      </c>
      <c r="E43" s="20">
        <v>9</v>
      </c>
      <c r="G43" s="17" t="s">
        <v>7</v>
      </c>
      <c r="H43" s="20">
        <v>9</v>
      </c>
      <c r="I43" s="20"/>
      <c r="J43" s="20"/>
      <c r="K43" s="20">
        <v>9</v>
      </c>
    </row>
    <row r="44" spans="1:11" x14ac:dyDescent="0.25">
      <c r="A44" s="17" t="s">
        <v>3</v>
      </c>
      <c r="B44" s="17">
        <v>90</v>
      </c>
      <c r="C44" s="4">
        <v>80</v>
      </c>
      <c r="D44" s="6">
        <v>90</v>
      </c>
      <c r="G44" s="17" t="s">
        <v>3</v>
      </c>
      <c r="H44" s="17">
        <v>90</v>
      </c>
      <c r="I44" s="17">
        <v>80</v>
      </c>
      <c r="J44" s="17">
        <v>150</v>
      </c>
    </row>
    <row r="45" spans="1:11" x14ac:dyDescent="0.25">
      <c r="H45" s="17">
        <v>81</v>
      </c>
    </row>
    <row r="46" spans="1:11" x14ac:dyDescent="0.25">
      <c r="E46" t="s">
        <v>8</v>
      </c>
      <c r="F46">
        <f>+SUMPRODUCT(H39:J42,B3:D6)</f>
        <v>3095</v>
      </c>
    </row>
  </sheetData>
  <mergeCells count="9">
    <mergeCell ref="B37:D37"/>
    <mergeCell ref="H37:J37"/>
    <mergeCell ref="B10:D10"/>
    <mergeCell ref="H10:J10"/>
    <mergeCell ref="B19:D19"/>
    <mergeCell ref="H19:J19"/>
    <mergeCell ref="B28:D28"/>
    <mergeCell ref="H28:J28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ESQ NOROESTE</vt:lpstr>
      <vt:lpstr>ESQ NOROESTE 2</vt:lpstr>
      <vt:lpstr>COSTO MIN</vt:lpstr>
      <vt:lpstr>COSTO MIN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2025-11-19T20:02:54Z</dcterms:created>
  <dcterms:modified xsi:type="dcterms:W3CDTF">2025-11-19T20:45:50Z</dcterms:modified>
</cp:coreProperties>
</file>