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8_{DAD93E23-F081-4D51-9778-C9D0A0763028}" xr6:coauthVersionLast="47" xr6:coauthVersionMax="47" xr10:uidLastSave="{00000000-0000-0000-0000-000000000000}"/>
  <bookViews>
    <workbookView xWindow="-120" yWindow="-120" windowWidth="29040" windowHeight="15720" activeTab="1" xr2:uid="{0C37F384-F80B-4530-8469-12A10977EB11}"/>
  </bookViews>
  <sheets>
    <sheet name="Hoja1" sheetId="1" r:id="rId1"/>
    <sheet name="Hoja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2" l="1"/>
  <c r="B40" i="2"/>
  <c r="B39" i="2"/>
  <c r="F29" i="2"/>
  <c r="G27" i="2"/>
  <c r="B29" i="2"/>
  <c r="B28" i="2"/>
  <c r="C27" i="2"/>
  <c r="F16" i="2"/>
  <c r="G15" i="2"/>
  <c r="H15" i="2"/>
  <c r="B17" i="2"/>
  <c r="B16" i="2"/>
  <c r="C15" i="2"/>
  <c r="J30" i="1"/>
  <c r="F32" i="1"/>
  <c r="J20" i="1"/>
  <c r="J19" i="1"/>
  <c r="M18" i="1"/>
  <c r="G19" i="1"/>
  <c r="D19" i="1"/>
  <c r="D20" i="1"/>
</calcChain>
</file>

<file path=xl/sharedStrings.xml><?xml version="1.0" encoding="utf-8"?>
<sst xmlns="http://schemas.openxmlformats.org/spreadsheetml/2006/main" count="107" uniqueCount="53">
  <si>
    <t xml:space="preserve">La solución óptima de PL1 es x1= 3.75, x2 = 1.25 y z = 23.75. </t>
  </si>
  <si>
    <t>X1=3.75</t>
  </si>
  <si>
    <t>X1=3</t>
  </si>
  <si>
    <t>X1=4</t>
  </si>
  <si>
    <t>X1+X2&lt;=5</t>
  </si>
  <si>
    <t>NODO 1</t>
  </si>
  <si>
    <t>X2=2</t>
  </si>
  <si>
    <t>Z&lt;=23.75</t>
  </si>
  <si>
    <t>X2=1</t>
  </si>
  <si>
    <t>10X1+6X2&lt;=45</t>
  </si>
  <si>
    <t>5X1+4X2</t>
  </si>
  <si>
    <t>Z</t>
  </si>
  <si>
    <t>R1</t>
  </si>
  <si>
    <t>R2</t>
  </si>
  <si>
    <t>10*4+6*1</t>
  </si>
  <si>
    <t>6*X2=45-40</t>
  </si>
  <si>
    <t>X2=5/6</t>
  </si>
  <si>
    <t>NODO 2</t>
  </si>
  <si>
    <t>X2=0.83</t>
  </si>
  <si>
    <t>X2=0</t>
  </si>
  <si>
    <t>X1=5</t>
  </si>
  <si>
    <t>NO FACTIBLE</t>
  </si>
  <si>
    <t>10*5+6*0</t>
  </si>
  <si>
    <t>X1=4.5</t>
  </si>
  <si>
    <t>4.5&lt;=5</t>
  </si>
  <si>
    <t>FACTIBLE</t>
  </si>
  <si>
    <t>Z=</t>
  </si>
  <si>
    <t>X1&lt;=3</t>
  </si>
  <si>
    <t>X1&gt;=4</t>
  </si>
  <si>
    <t>X1&lt;=3 ENTERO</t>
  </si>
  <si>
    <t>X1&gt;=4 ENTERO</t>
  </si>
  <si>
    <t>X1&gt;=</t>
  </si>
  <si>
    <t>X2&gt;=1</t>
  </si>
  <si>
    <t>MAX Z=7X1+5X2</t>
  </si>
  <si>
    <t>4X1+3X2&lt;=18</t>
  </si>
  <si>
    <t>R1 M</t>
  </si>
  <si>
    <t>R2 MO</t>
  </si>
  <si>
    <t>2X1+3X2&lt;=12</t>
  </si>
  <si>
    <t>X1, X2 ENTEROS POSITIVOS</t>
  </si>
  <si>
    <t>SLN RELAJADA</t>
  </si>
  <si>
    <t>X1=4.5 X2=0</t>
  </si>
  <si>
    <t>Z=31.5</t>
  </si>
  <si>
    <t>X1&lt;=4</t>
  </si>
  <si>
    <t>X1&gt;=5</t>
  </si>
  <si>
    <t>X2=2/3</t>
  </si>
  <si>
    <t>X2=0.667</t>
  </si>
  <si>
    <t>X1=18/4</t>
  </si>
  <si>
    <t>X1=15/4</t>
  </si>
  <si>
    <t>NODO 3</t>
  </si>
  <si>
    <t>Z&lt;=31.33</t>
  </si>
  <si>
    <t>Z&lt;=31.25</t>
  </si>
  <si>
    <t>X2=6/3</t>
  </si>
  <si>
    <t>Z=31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</si>
</sst>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591553</xdr:colOff>
      <xdr:row>8</xdr:row>
      <xdr:rowOff>85224</xdr:rowOff>
    </xdr:to>
    <xdr:grpSp>
      <xdr:nvGrpSpPr>
        <xdr:cNvPr id="2" name="Agrupar 7">
          <a:extLst>
            <a:ext uri="{FF2B5EF4-FFF2-40B4-BE49-F238E27FC236}">
              <a16:creationId xmlns:a16="http://schemas.microsoft.com/office/drawing/2014/main" id="{434EB180-3DB1-4204-BFD3-C9029A489205}"/>
            </a:ext>
          </a:extLst>
        </xdr:cNvPr>
        <xdr:cNvGrpSpPr/>
      </xdr:nvGrpSpPr>
      <xdr:grpSpPr>
        <a:xfrm>
          <a:off x="0" y="0"/>
          <a:ext cx="2115553" cy="1609224"/>
          <a:chOff x="3127375" y="2857500"/>
          <a:chExt cx="4117868" cy="3079750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5B8CEF2-10A9-4CA5-ADAC-B1C94E1CFE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127375" y="2857500"/>
            <a:ext cx="4117868" cy="3079750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BFA9C7FC-8FC0-4C04-A8F1-FCA8D4974C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08375" y="3816350"/>
            <a:ext cx="1190625" cy="457933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0</xdr:colOff>
      <xdr:row>0</xdr:row>
      <xdr:rowOff>30078</xdr:rowOff>
    </xdr:from>
    <xdr:to>
      <xdr:col>5</xdr:col>
      <xdr:colOff>662471</xdr:colOff>
      <xdr:row>8</xdr:row>
      <xdr:rowOff>165433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10C0BF7-3E04-4C33-97BF-7F485AE3B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0" y="30078"/>
          <a:ext cx="1645050" cy="1659355"/>
        </a:xfrm>
        <a:prstGeom prst="rect">
          <a:avLst/>
        </a:prstGeom>
      </xdr:spPr>
    </xdr:pic>
    <xdr:clientData/>
  </xdr:twoCellAnchor>
  <xdr:twoCellAnchor>
    <xdr:from>
      <xdr:col>0</xdr:col>
      <xdr:colOff>591553</xdr:colOff>
      <xdr:row>11</xdr:row>
      <xdr:rowOff>110289</xdr:rowOff>
    </xdr:from>
    <xdr:to>
      <xdr:col>0</xdr:col>
      <xdr:colOff>746961</xdr:colOff>
      <xdr:row>12</xdr:row>
      <xdr:rowOff>45118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E9FC5B2A-5421-4788-A71D-69CC0D98F6DA}"/>
            </a:ext>
          </a:extLst>
        </xdr:cNvPr>
        <xdr:cNvCxnSpPr/>
      </xdr:nvCxnSpPr>
      <xdr:spPr>
        <a:xfrm flipV="1">
          <a:off x="591553" y="2205789"/>
          <a:ext cx="155408" cy="125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596566</xdr:colOff>
      <xdr:row>12</xdr:row>
      <xdr:rowOff>155408</xdr:rowOff>
    </xdr:from>
    <xdr:to>
      <xdr:col>0</xdr:col>
      <xdr:colOff>746961</xdr:colOff>
      <xdr:row>13</xdr:row>
      <xdr:rowOff>135355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59A692A4-05C9-417B-9BCA-A0F0ECC94B39}"/>
            </a:ext>
          </a:extLst>
        </xdr:cNvPr>
        <xdr:cNvCxnSpPr/>
      </xdr:nvCxnSpPr>
      <xdr:spPr>
        <a:xfrm>
          <a:off x="596566" y="2441408"/>
          <a:ext cx="150395" cy="1704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566487</xdr:colOff>
      <xdr:row>23</xdr:row>
      <xdr:rowOff>115303</xdr:rowOff>
    </xdr:from>
    <xdr:to>
      <xdr:col>1</xdr:col>
      <xdr:colOff>10026</xdr:colOff>
      <xdr:row>24</xdr:row>
      <xdr:rowOff>75197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8A757120-7904-4724-A7DE-AC466DBF86DF}"/>
            </a:ext>
          </a:extLst>
        </xdr:cNvPr>
        <xdr:cNvCxnSpPr/>
      </xdr:nvCxnSpPr>
      <xdr:spPr>
        <a:xfrm flipV="1">
          <a:off x="566487" y="4496803"/>
          <a:ext cx="205539" cy="1503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616618</xdr:colOff>
      <xdr:row>24</xdr:row>
      <xdr:rowOff>130342</xdr:rowOff>
    </xdr:from>
    <xdr:to>
      <xdr:col>1</xdr:col>
      <xdr:colOff>0</xdr:colOff>
      <xdr:row>25</xdr:row>
      <xdr:rowOff>85224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25AC31BA-ABB8-49A4-94C2-9B41ECA337EA}"/>
            </a:ext>
          </a:extLst>
        </xdr:cNvPr>
        <xdr:cNvCxnSpPr/>
      </xdr:nvCxnSpPr>
      <xdr:spPr>
        <a:xfrm>
          <a:off x="616618" y="4702342"/>
          <a:ext cx="145382" cy="1453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5014</xdr:colOff>
      <xdr:row>20</xdr:row>
      <xdr:rowOff>60157</xdr:rowOff>
    </xdr:from>
    <xdr:to>
      <xdr:col>7</xdr:col>
      <xdr:colOff>200526</xdr:colOff>
      <xdr:row>27</xdr:row>
      <xdr:rowOff>20052</xdr:rowOff>
    </xdr:to>
    <xdr:grpSp>
      <xdr:nvGrpSpPr>
        <xdr:cNvPr id="14" name="Agrupar 7">
          <a:extLst>
            <a:ext uri="{FF2B5EF4-FFF2-40B4-BE49-F238E27FC236}">
              <a16:creationId xmlns:a16="http://schemas.microsoft.com/office/drawing/2014/main" id="{4186CA51-00C1-40EB-A8ED-BDFBB12F480D}"/>
            </a:ext>
          </a:extLst>
        </xdr:cNvPr>
        <xdr:cNvGrpSpPr/>
      </xdr:nvGrpSpPr>
      <xdr:grpSpPr>
        <a:xfrm>
          <a:off x="3273593" y="3870157"/>
          <a:ext cx="1719512" cy="1293395"/>
          <a:chOff x="3127375" y="2857500"/>
          <a:chExt cx="4117868" cy="3079750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2243010D-58A6-47F6-90EC-96C2650E4D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127375" y="2857500"/>
            <a:ext cx="4117868" cy="3079750"/>
          </a:xfrm>
          <a:prstGeom prst="rect">
            <a:avLst/>
          </a:prstGeom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658FB95E-9B1F-4315-B21C-584A9AF8F1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08375" y="3816350"/>
            <a:ext cx="1190625" cy="45793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556461</xdr:colOff>
      <xdr:row>8</xdr:row>
      <xdr:rowOff>145382</xdr:rowOff>
    </xdr:from>
    <xdr:to>
      <xdr:col>1</xdr:col>
      <xdr:colOff>716882</xdr:colOff>
      <xdr:row>9</xdr:row>
      <xdr:rowOff>70184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645D5E8-AD3C-4943-8BDF-A2B368F7734F}"/>
            </a:ext>
          </a:extLst>
        </xdr:cNvPr>
        <xdr:cNvCxnSpPr/>
      </xdr:nvCxnSpPr>
      <xdr:spPr>
        <a:xfrm flipV="1">
          <a:off x="1318461" y="1669382"/>
          <a:ext cx="160421" cy="1153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541421</xdr:colOff>
      <xdr:row>10</xdr:row>
      <xdr:rowOff>5013</xdr:rowOff>
    </xdr:from>
    <xdr:to>
      <xdr:col>1</xdr:col>
      <xdr:colOff>731921</xdr:colOff>
      <xdr:row>10</xdr:row>
      <xdr:rowOff>115303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910FC190-2243-4A56-97C4-E870969A9D75}"/>
            </a:ext>
          </a:extLst>
        </xdr:cNvPr>
        <xdr:cNvCxnSpPr/>
      </xdr:nvCxnSpPr>
      <xdr:spPr>
        <a:xfrm>
          <a:off x="1303421" y="1910013"/>
          <a:ext cx="190500" cy="1102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D45F-46E3-4FEF-B3CD-421E8F47071E}">
  <dimension ref="A10:M32"/>
  <sheetViews>
    <sheetView topLeftCell="A16" zoomScale="190" zoomScaleNormal="190" workbookViewId="0">
      <selection activeCell="D20" sqref="D20"/>
    </sheetView>
  </sheetViews>
  <sheetFormatPr baseColWidth="10" defaultRowHeight="15" x14ac:dyDescent="0.25"/>
  <cols>
    <col min="5" max="5" width="3.28515625" customWidth="1"/>
    <col min="11" max="11" width="3.85546875" customWidth="1"/>
  </cols>
  <sheetData>
    <row r="10" spans="1:9" x14ac:dyDescent="0.25">
      <c r="A10" t="s">
        <v>0</v>
      </c>
    </row>
    <row r="12" spans="1:9" x14ac:dyDescent="0.25">
      <c r="B12" t="s">
        <v>27</v>
      </c>
    </row>
    <row r="13" spans="1:9" x14ac:dyDescent="0.25">
      <c r="A13" t="s">
        <v>1</v>
      </c>
    </row>
    <row r="14" spans="1:9" x14ac:dyDescent="0.25">
      <c r="B14" t="s">
        <v>31</v>
      </c>
    </row>
    <row r="15" spans="1:9" x14ac:dyDescent="0.25">
      <c r="A15" t="s">
        <v>5</v>
      </c>
      <c r="D15" t="s">
        <v>29</v>
      </c>
      <c r="H15" t="s">
        <v>30</v>
      </c>
    </row>
    <row r="16" spans="1:9" x14ac:dyDescent="0.25">
      <c r="A16" t="s">
        <v>2</v>
      </c>
      <c r="D16" t="s">
        <v>7</v>
      </c>
      <c r="E16" s="2"/>
      <c r="F16" t="s">
        <v>3</v>
      </c>
      <c r="H16" t="s">
        <v>7</v>
      </c>
      <c r="I16" t="s">
        <v>3</v>
      </c>
    </row>
    <row r="17" spans="1:13" x14ac:dyDescent="0.25">
      <c r="E17" s="2"/>
    </row>
    <row r="18" spans="1:13" x14ac:dyDescent="0.25">
      <c r="A18" t="s">
        <v>12</v>
      </c>
      <c r="B18" t="s">
        <v>4</v>
      </c>
      <c r="D18" t="s">
        <v>6</v>
      </c>
      <c r="E18" s="2"/>
      <c r="F18" t="s">
        <v>12</v>
      </c>
      <c r="G18" t="s">
        <v>8</v>
      </c>
      <c r="I18" t="s">
        <v>13</v>
      </c>
      <c r="J18" t="s">
        <v>15</v>
      </c>
      <c r="L18" t="s">
        <v>16</v>
      </c>
      <c r="M18">
        <f>5/6</f>
        <v>0.83333333333333337</v>
      </c>
    </row>
    <row r="19" spans="1:13" x14ac:dyDescent="0.25">
      <c r="A19" t="s">
        <v>13</v>
      </c>
      <c r="B19" t="s">
        <v>9</v>
      </c>
      <c r="D19">
        <f>10*3+6*2</f>
        <v>42</v>
      </c>
      <c r="E19" s="2"/>
      <c r="F19" t="s">
        <v>13</v>
      </c>
      <c r="G19">
        <f>10*4+6*1</f>
        <v>46</v>
      </c>
      <c r="I19" t="s">
        <v>12</v>
      </c>
      <c r="J19">
        <f>4+M18</f>
        <v>4.833333333333333</v>
      </c>
    </row>
    <row r="20" spans="1:13" x14ac:dyDescent="0.25">
      <c r="A20" t="s">
        <v>11</v>
      </c>
      <c r="B20" t="s">
        <v>10</v>
      </c>
      <c r="D20" s="1">
        <f>5*3+4*2</f>
        <v>23</v>
      </c>
      <c r="E20" s="2"/>
      <c r="F20" t="s">
        <v>21</v>
      </c>
      <c r="I20" t="s">
        <v>11</v>
      </c>
      <c r="J20">
        <f>5*4+4*M18</f>
        <v>23.333333333333332</v>
      </c>
    </row>
    <row r="21" spans="1:13" x14ac:dyDescent="0.25">
      <c r="E21" s="2"/>
    </row>
    <row r="23" spans="1:13" x14ac:dyDescent="0.25">
      <c r="A23" t="s">
        <v>17</v>
      </c>
    </row>
    <row r="24" spans="1:13" x14ac:dyDescent="0.25">
      <c r="B24" t="s">
        <v>19</v>
      </c>
    </row>
    <row r="25" spans="1:13" x14ac:dyDescent="0.25">
      <c r="A25" t="s">
        <v>18</v>
      </c>
    </row>
    <row r="26" spans="1:13" x14ac:dyDescent="0.25">
      <c r="B26" t="s">
        <v>32</v>
      </c>
    </row>
    <row r="28" spans="1:13" x14ac:dyDescent="0.25">
      <c r="A28" t="s">
        <v>19</v>
      </c>
      <c r="H28" t="s">
        <v>8</v>
      </c>
    </row>
    <row r="29" spans="1:13" x14ac:dyDescent="0.25">
      <c r="A29" t="s">
        <v>12</v>
      </c>
      <c r="B29" t="s">
        <v>20</v>
      </c>
      <c r="E29" t="s">
        <v>13</v>
      </c>
      <c r="F29" t="s">
        <v>23</v>
      </c>
      <c r="G29" s="2"/>
      <c r="H29" t="s">
        <v>12</v>
      </c>
      <c r="I29" t="s">
        <v>3</v>
      </c>
    </row>
    <row r="30" spans="1:13" x14ac:dyDescent="0.25">
      <c r="A30" t="s">
        <v>13</v>
      </c>
      <c r="B30" t="s">
        <v>22</v>
      </c>
      <c r="C30">
        <v>50</v>
      </c>
      <c r="E30" t="s">
        <v>12</v>
      </c>
      <c r="F30" t="s">
        <v>24</v>
      </c>
      <c r="G30" s="2"/>
      <c r="H30" t="s">
        <v>13</v>
      </c>
      <c r="I30" t="s">
        <v>14</v>
      </c>
      <c r="J30">
        <f>10*4+6</f>
        <v>46</v>
      </c>
    </row>
    <row r="31" spans="1:13" x14ac:dyDescent="0.25">
      <c r="B31" t="s">
        <v>21</v>
      </c>
      <c r="E31" t="s">
        <v>25</v>
      </c>
      <c r="G31" s="2"/>
    </row>
    <row r="32" spans="1:13" x14ac:dyDescent="0.25">
      <c r="E32" t="s">
        <v>26</v>
      </c>
      <c r="F32">
        <f>5*4.5</f>
        <v>22.5</v>
      </c>
      <c r="G32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1034-C2EE-4808-95D5-A18028EA40F9}">
  <dimension ref="A1:H42"/>
  <sheetViews>
    <sheetView tabSelected="1" topLeftCell="A31" zoomScale="190" zoomScaleNormal="190" workbookViewId="0">
      <selection activeCell="B37" sqref="B37"/>
    </sheetView>
  </sheetViews>
  <sheetFormatPr baseColWidth="10" defaultRowHeight="15" x14ac:dyDescent="0.25"/>
  <cols>
    <col min="4" max="4" width="3.7109375" customWidth="1"/>
  </cols>
  <sheetData>
    <row r="1" spans="1:8" x14ac:dyDescent="0.25">
      <c r="A1" t="s">
        <v>33</v>
      </c>
    </row>
    <row r="2" spans="1:8" x14ac:dyDescent="0.25">
      <c r="A2" t="s">
        <v>35</v>
      </c>
      <c r="B2" t="s">
        <v>34</v>
      </c>
    </row>
    <row r="3" spans="1:8" x14ac:dyDescent="0.25">
      <c r="A3" t="s">
        <v>36</v>
      </c>
      <c r="B3" t="s">
        <v>37</v>
      </c>
    </row>
    <row r="4" spans="1:8" x14ac:dyDescent="0.25">
      <c r="A4" t="s">
        <v>38</v>
      </c>
    </row>
    <row r="6" spans="1:8" x14ac:dyDescent="0.25">
      <c r="A6" t="s">
        <v>39</v>
      </c>
    </row>
    <row r="7" spans="1:8" x14ac:dyDescent="0.25">
      <c r="A7" t="s">
        <v>40</v>
      </c>
      <c r="B7" t="s">
        <v>41</v>
      </c>
    </row>
    <row r="9" spans="1:8" x14ac:dyDescent="0.25">
      <c r="C9" t="s">
        <v>42</v>
      </c>
    </row>
    <row r="10" spans="1:8" x14ac:dyDescent="0.25">
      <c r="A10" t="s">
        <v>5</v>
      </c>
      <c r="B10" t="s">
        <v>23</v>
      </c>
    </row>
    <row r="11" spans="1:8" x14ac:dyDescent="0.25">
      <c r="C11" t="s">
        <v>43</v>
      </c>
    </row>
    <row r="14" spans="1:8" x14ac:dyDescent="0.25">
      <c r="A14" t="s">
        <v>3</v>
      </c>
      <c r="E14" t="s">
        <v>20</v>
      </c>
    </row>
    <row r="15" spans="1:8" x14ac:dyDescent="0.25">
      <c r="A15" t="s">
        <v>12</v>
      </c>
      <c r="B15" t="s">
        <v>44</v>
      </c>
      <c r="C15">
        <f>2/3</f>
        <v>0.66666666666666663</v>
      </c>
      <c r="D15" s="2"/>
      <c r="E15" t="s">
        <v>13</v>
      </c>
      <c r="F15" t="s">
        <v>44</v>
      </c>
      <c r="G15">
        <f>2/3</f>
        <v>0.66666666666666663</v>
      </c>
      <c r="H15">
        <f>2*5+3*G15</f>
        <v>12</v>
      </c>
    </row>
    <row r="16" spans="1:8" x14ac:dyDescent="0.25">
      <c r="A16" t="s">
        <v>13</v>
      </c>
      <c r="B16">
        <f>2*4+3*C15</f>
        <v>10</v>
      </c>
      <c r="D16" s="2"/>
      <c r="E16" t="s">
        <v>12</v>
      </c>
      <c r="F16">
        <f>4*5+3*G15</f>
        <v>22</v>
      </c>
    </row>
    <row r="17" spans="1:7" x14ac:dyDescent="0.25">
      <c r="A17" t="s">
        <v>11</v>
      </c>
      <c r="B17">
        <f>7*4+5*C15</f>
        <v>31.333333333333332</v>
      </c>
      <c r="D17" s="2"/>
      <c r="E17" t="s">
        <v>21</v>
      </c>
    </row>
    <row r="20" spans="1:7" x14ac:dyDescent="0.25">
      <c r="A20" t="s">
        <v>17</v>
      </c>
    </row>
    <row r="21" spans="1:7" x14ac:dyDescent="0.25">
      <c r="B21" t="s">
        <v>19</v>
      </c>
    </row>
    <row r="22" spans="1:7" x14ac:dyDescent="0.25">
      <c r="A22" t="s">
        <v>45</v>
      </c>
      <c r="C22" t="s">
        <v>49</v>
      </c>
    </row>
    <row r="23" spans="1:7" x14ac:dyDescent="0.25">
      <c r="B23" t="s">
        <v>32</v>
      </c>
    </row>
    <row r="25" spans="1:7" x14ac:dyDescent="0.25">
      <c r="A25" t="s">
        <v>19</v>
      </c>
      <c r="D25" s="2"/>
      <c r="E25" t="s">
        <v>8</v>
      </c>
    </row>
    <row r="26" spans="1:7" x14ac:dyDescent="0.25">
      <c r="D26" s="2"/>
    </row>
    <row r="27" spans="1:7" x14ac:dyDescent="0.25">
      <c r="A27" t="s">
        <v>12</v>
      </c>
      <c r="B27" t="s">
        <v>46</v>
      </c>
      <c r="C27">
        <f>18/4</f>
        <v>4.5</v>
      </c>
      <c r="D27" s="2"/>
      <c r="E27" t="s">
        <v>12</v>
      </c>
      <c r="F27" t="s">
        <v>47</v>
      </c>
      <c r="G27">
        <f>15/4</f>
        <v>3.75</v>
      </c>
    </row>
    <row r="28" spans="1:7" x14ac:dyDescent="0.25">
      <c r="A28" t="s">
        <v>13</v>
      </c>
      <c r="B28">
        <f>2*C27</f>
        <v>9</v>
      </c>
      <c r="D28" s="2"/>
      <c r="E28" t="s">
        <v>13</v>
      </c>
      <c r="F28">
        <f>2*G27+3*1</f>
        <v>10.5</v>
      </c>
    </row>
    <row r="29" spans="1:7" x14ac:dyDescent="0.25">
      <c r="A29" t="s">
        <v>26</v>
      </c>
      <c r="B29">
        <f>7*C27</f>
        <v>31.5</v>
      </c>
      <c r="D29" s="2"/>
      <c r="E29" t="s">
        <v>11</v>
      </c>
      <c r="F29">
        <f>7*G27+5*1</f>
        <v>31.25</v>
      </c>
    </row>
    <row r="32" spans="1:7" x14ac:dyDescent="0.25">
      <c r="A32" t="s">
        <v>48</v>
      </c>
    </row>
    <row r="33" spans="1:7" x14ac:dyDescent="0.25">
      <c r="B33" t="s">
        <v>27</v>
      </c>
      <c r="E33" t="s">
        <v>34</v>
      </c>
    </row>
    <row r="34" spans="1:7" x14ac:dyDescent="0.25">
      <c r="A34" t="s">
        <v>1</v>
      </c>
      <c r="C34" t="s">
        <v>50</v>
      </c>
      <c r="E34" t="s">
        <v>37</v>
      </c>
    </row>
    <row r="35" spans="1:7" x14ac:dyDescent="0.25">
      <c r="B35" t="s">
        <v>28</v>
      </c>
      <c r="E35" t="s">
        <v>33</v>
      </c>
    </row>
    <row r="37" spans="1:7" x14ac:dyDescent="0.25">
      <c r="A37" t="s">
        <v>2</v>
      </c>
      <c r="D37" s="2"/>
      <c r="E37" t="s">
        <v>3</v>
      </c>
    </row>
    <row r="38" spans="1:7" x14ac:dyDescent="0.25">
      <c r="A38" t="s">
        <v>12</v>
      </c>
      <c r="B38" t="s">
        <v>51</v>
      </c>
      <c r="C38">
        <v>2</v>
      </c>
      <c r="D38" s="2"/>
      <c r="E38" t="s">
        <v>12</v>
      </c>
      <c r="F38" t="s">
        <v>44</v>
      </c>
      <c r="G38">
        <v>0.66669999999999996</v>
      </c>
    </row>
    <row r="39" spans="1:7" x14ac:dyDescent="0.25">
      <c r="A39" t="s">
        <v>13</v>
      </c>
      <c r="B39">
        <f>2*3+3*2</f>
        <v>12</v>
      </c>
      <c r="D39" s="2"/>
      <c r="E39" t="s">
        <v>13</v>
      </c>
    </row>
    <row r="40" spans="1:7" x14ac:dyDescent="0.25">
      <c r="A40" t="s">
        <v>26</v>
      </c>
      <c r="B40">
        <f>7*3+5*C38</f>
        <v>31</v>
      </c>
      <c r="D40" s="2"/>
    </row>
    <row r="42" spans="1:7" x14ac:dyDescent="0.25">
      <c r="A42" s="3" t="s">
        <v>2</v>
      </c>
      <c r="B42" s="3" t="s">
        <v>6</v>
      </c>
      <c r="C42" s="3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2025-11-26T19:26:51Z</dcterms:created>
  <dcterms:modified xsi:type="dcterms:W3CDTF">2025-11-26T20:22:37Z</dcterms:modified>
</cp:coreProperties>
</file>